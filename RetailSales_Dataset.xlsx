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9_{D65816A2-EEF1-41D2-9B2A-AD0675404490}" xr6:coauthVersionLast="47" xr6:coauthVersionMax="47" xr10:uidLastSave="{00000000-0000-0000-0000-000000000000}"/>
  <bookViews>
    <workbookView xWindow="-108" yWindow="-108" windowWidth="23256" windowHeight="12456" activeTab="2" xr2:uid="{3766B427-AA58-4FFE-90B4-6E72F1D35659}"/>
  </bookViews>
  <sheets>
    <sheet name="Task1 " sheetId="3" r:id="rId1"/>
    <sheet name="RetailSales_Dataset" sheetId="1" r:id="rId2"/>
    <sheet name="Data validation" sheetId="5" r:id="rId3"/>
    <sheet name="Hard" sheetId="2" r:id="rId4"/>
  </sheets>
  <calcPr calcId="0"/>
  <pivotCaches>
    <pivotCache cacheId="5" r:id="rId5"/>
  </pivotCaches>
</workbook>
</file>

<file path=xl/calcChain.xml><?xml version="1.0" encoding="utf-8"?>
<calcChain xmlns="http://schemas.openxmlformats.org/spreadsheetml/2006/main">
  <c r="R3" i="1" l="1" a="1"/>
  <c r="R3" i="1" s="1"/>
  <c r="R4" i="1" a="1"/>
  <c r="R4" i="1" s="1"/>
  <c r="R5" i="1" a="1"/>
  <c r="R5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R13" i="1" a="1"/>
  <c r="R13" i="1"/>
  <c r="R14" i="1" a="1"/>
  <c r="R14" i="1" s="1"/>
  <c r="R15" i="1" a="1"/>
  <c r="R15" i="1" s="1"/>
  <c r="R16" i="1" a="1"/>
  <c r="R16" i="1" s="1"/>
  <c r="R17" i="1" a="1"/>
  <c r="R17" i="1" s="1"/>
  <c r="R18" i="1" a="1"/>
  <c r="R18" i="1" s="1"/>
  <c r="R19" i="1" a="1"/>
  <c r="R19" i="1" s="1"/>
  <c r="R20" i="1" a="1"/>
  <c r="R20" i="1" s="1"/>
  <c r="R21" i="1" a="1"/>
  <c r="R21" i="1" s="1"/>
  <c r="R22" i="1" a="1"/>
  <c r="R22" i="1" s="1"/>
  <c r="R23" i="1" a="1"/>
  <c r="R23" i="1" s="1"/>
  <c r="R24" i="1" a="1"/>
  <c r="R24" i="1" s="1"/>
  <c r="R25" i="1" a="1"/>
  <c r="R25" i="1" s="1"/>
  <c r="R26" i="1" a="1"/>
  <c r="R26" i="1" s="1"/>
  <c r="R27" i="1" a="1"/>
  <c r="R27" i="1" s="1"/>
  <c r="R28" i="1" a="1"/>
  <c r="R28" i="1" s="1"/>
  <c r="R29" i="1" a="1"/>
  <c r="R29" i="1" s="1"/>
  <c r="R30" i="1" a="1"/>
  <c r="R30" i="1" s="1"/>
  <c r="R31" i="1" a="1"/>
  <c r="R31" i="1" s="1"/>
  <c r="R32" i="1" a="1"/>
  <c r="R32" i="1" s="1"/>
  <c r="R33" i="1" a="1"/>
  <c r="R33" i="1" s="1"/>
  <c r="R34" i="1" a="1"/>
  <c r="R34" i="1" s="1"/>
  <c r="R35" i="1" a="1"/>
  <c r="R35" i="1" s="1"/>
  <c r="R36" i="1" a="1"/>
  <c r="R36" i="1" s="1"/>
  <c r="R37" i="1" a="1"/>
  <c r="R37" i="1" s="1"/>
  <c r="R38" i="1" a="1"/>
  <c r="R38" i="1" s="1"/>
  <c r="R39" i="1" a="1"/>
  <c r="R39" i="1" s="1"/>
  <c r="R40" i="1" a="1"/>
  <c r="R40" i="1" s="1"/>
  <c r="R41" i="1" a="1"/>
  <c r="R41" i="1" s="1"/>
  <c r="R42" i="1" a="1"/>
  <c r="R42" i="1" s="1"/>
  <c r="R43" i="1" a="1"/>
  <c r="R43" i="1" s="1"/>
  <c r="R44" i="1" a="1"/>
  <c r="R44" i="1" s="1"/>
  <c r="R45" i="1" a="1"/>
  <c r="R45" i="1" s="1"/>
  <c r="R46" i="1" a="1"/>
  <c r="R46" i="1" s="1"/>
  <c r="R47" i="1" a="1"/>
  <c r="R47" i="1" s="1"/>
  <c r="R48" i="1" a="1"/>
  <c r="R48" i="1" s="1"/>
  <c r="R49" i="1" a="1"/>
  <c r="R49" i="1" s="1"/>
  <c r="R50" i="1" a="1"/>
  <c r="R50" i="1" s="1"/>
  <c r="R51" i="1" a="1"/>
  <c r="R51" i="1" s="1"/>
  <c r="R52" i="1" a="1"/>
  <c r="R52" i="1" s="1"/>
  <c r="R53" i="1" a="1"/>
  <c r="R53" i="1" s="1"/>
  <c r="R54" i="1" a="1"/>
  <c r="R54" i="1" s="1"/>
  <c r="R55" i="1" a="1"/>
  <c r="R55" i="1" s="1"/>
  <c r="R56" i="1" a="1"/>
  <c r="R56" i="1" s="1"/>
  <c r="R57" i="1" a="1"/>
  <c r="R57" i="1" s="1"/>
  <c r="R58" i="1" a="1"/>
  <c r="R58" i="1" s="1"/>
  <c r="R59" i="1" a="1"/>
  <c r="R59" i="1" s="1"/>
  <c r="R60" i="1" a="1"/>
  <c r="R60" i="1" s="1"/>
  <c r="R61" i="1" a="1"/>
  <c r="R61" i="1" s="1"/>
  <c r="R62" i="1" a="1"/>
  <c r="R62" i="1" s="1"/>
  <c r="R63" i="1" a="1"/>
  <c r="R63" i="1" s="1"/>
  <c r="R64" i="1" a="1"/>
  <c r="R64" i="1" s="1"/>
  <c r="R65" i="1" a="1"/>
  <c r="R65" i="1" s="1"/>
  <c r="R66" i="1" a="1"/>
  <c r="R66" i="1" s="1"/>
  <c r="R67" i="1" a="1"/>
  <c r="R67" i="1" s="1"/>
  <c r="R68" i="1" a="1"/>
  <c r="R68" i="1" s="1"/>
  <c r="R69" i="1" a="1"/>
  <c r="R69" i="1" s="1"/>
  <c r="R70" i="1" a="1"/>
  <c r="R70" i="1" s="1"/>
  <c r="R71" i="1" a="1"/>
  <c r="R71" i="1" s="1"/>
  <c r="R72" i="1" a="1"/>
  <c r="R72" i="1" s="1"/>
  <c r="R73" i="1" a="1"/>
  <c r="R73" i="1" s="1"/>
  <c r="R74" i="1" a="1"/>
  <c r="R74" i="1" s="1"/>
  <c r="R75" i="1" a="1"/>
  <c r="R75" i="1" s="1"/>
  <c r="R76" i="1" a="1"/>
  <c r="R76" i="1" s="1"/>
  <c r="R77" i="1" a="1"/>
  <c r="R77" i="1" s="1"/>
  <c r="R78" i="1" a="1"/>
  <c r="R78" i="1" s="1"/>
  <c r="R79" i="1" a="1"/>
  <c r="R79" i="1" s="1"/>
  <c r="R80" i="1" a="1"/>
  <c r="R80" i="1" s="1"/>
  <c r="R81" i="1" a="1"/>
  <c r="R81" i="1" s="1"/>
  <c r="R82" i="1" a="1"/>
  <c r="R82" i="1" s="1"/>
  <c r="R83" i="1" a="1"/>
  <c r="R83" i="1" s="1"/>
  <c r="R84" i="1" a="1"/>
  <c r="R84" i="1" s="1"/>
  <c r="R85" i="1" a="1"/>
  <c r="R85" i="1" s="1"/>
  <c r="R86" i="1" a="1"/>
  <c r="R86" i="1" s="1"/>
  <c r="R87" i="1" a="1"/>
  <c r="R87" i="1" s="1"/>
  <c r="R88" i="1" a="1"/>
  <c r="R88" i="1" s="1"/>
  <c r="R89" i="1" a="1"/>
  <c r="R89" i="1" s="1"/>
  <c r="R90" i="1" a="1"/>
  <c r="R90" i="1" s="1"/>
  <c r="R91" i="1" a="1"/>
  <c r="R91" i="1" s="1"/>
  <c r="R92" i="1" a="1"/>
  <c r="R92" i="1" s="1"/>
  <c r="R93" i="1" a="1"/>
  <c r="R93" i="1" s="1"/>
  <c r="R94" i="1" a="1"/>
  <c r="R94" i="1" s="1"/>
  <c r="R95" i="1" a="1"/>
  <c r="R95" i="1" s="1"/>
  <c r="R96" i="1" a="1"/>
  <c r="R96" i="1" s="1"/>
  <c r="R97" i="1" a="1"/>
  <c r="R97" i="1" s="1"/>
  <c r="R98" i="1" a="1"/>
  <c r="R98" i="1" s="1"/>
  <c r="R99" i="1" a="1"/>
  <c r="R99" i="1" s="1"/>
  <c r="R100" i="1" a="1"/>
  <c r="R100" i="1" s="1"/>
  <c r="R101" i="1" a="1"/>
  <c r="R101" i="1" s="1"/>
  <c r="R102" i="1" a="1"/>
  <c r="R102" i="1" s="1"/>
  <c r="R103" i="1" a="1"/>
  <c r="R103" i="1" s="1"/>
  <c r="R104" i="1" a="1"/>
  <c r="R104" i="1" s="1"/>
  <c r="R105" i="1" a="1"/>
  <c r="R105" i="1" s="1"/>
  <c r="R106" i="1" a="1"/>
  <c r="R106" i="1" s="1"/>
  <c r="R107" i="1" a="1"/>
  <c r="R107" i="1" s="1"/>
  <c r="R108" i="1" a="1"/>
  <c r="R108" i="1" s="1"/>
  <c r="R109" i="1" a="1"/>
  <c r="R109" i="1" s="1"/>
  <c r="R110" i="1" a="1"/>
  <c r="R110" i="1" s="1"/>
  <c r="R111" i="1" a="1"/>
  <c r="R111" i="1" s="1"/>
  <c r="R112" i="1" a="1"/>
  <c r="R112" i="1" s="1"/>
  <c r="R113" i="1" a="1"/>
  <c r="R113" i="1" s="1"/>
  <c r="R114" i="1" a="1"/>
  <c r="R114" i="1" s="1"/>
  <c r="R115" i="1" a="1"/>
  <c r="R115" i="1" s="1"/>
  <c r="R116" i="1" a="1"/>
  <c r="R116" i="1" s="1"/>
  <c r="R117" i="1" a="1"/>
  <c r="R117" i="1" s="1"/>
  <c r="R118" i="1" a="1"/>
  <c r="R118" i="1" s="1"/>
  <c r="R119" i="1" a="1"/>
  <c r="R119" i="1" s="1"/>
  <c r="R120" i="1" a="1"/>
  <c r="R120" i="1" s="1"/>
  <c r="R121" i="1" a="1"/>
  <c r="R121" i="1" s="1"/>
  <c r="R122" i="1" a="1"/>
  <c r="R122" i="1" s="1"/>
  <c r="R123" i="1" a="1"/>
  <c r="R123" i="1" s="1"/>
  <c r="R124" i="1" a="1"/>
  <c r="R124" i="1" s="1"/>
  <c r="R125" i="1" a="1"/>
  <c r="R125" i="1" s="1"/>
  <c r="R126" i="1" a="1"/>
  <c r="R126" i="1" s="1"/>
  <c r="R127" i="1" a="1"/>
  <c r="R127" i="1" s="1"/>
  <c r="R128" i="1" a="1"/>
  <c r="R128" i="1" s="1"/>
  <c r="R129" i="1" a="1"/>
  <c r="R129" i="1" s="1"/>
  <c r="R130" i="1" a="1"/>
  <c r="R130" i="1" s="1"/>
  <c r="R131" i="1" a="1"/>
  <c r="R131" i="1" s="1"/>
  <c r="R132" i="1" a="1"/>
  <c r="R132" i="1" s="1"/>
  <c r="R133" i="1" a="1"/>
  <c r="R133" i="1" s="1"/>
  <c r="R134" i="1" a="1"/>
  <c r="R134" i="1" s="1"/>
  <c r="R135" i="1" a="1"/>
  <c r="R135" i="1" s="1"/>
  <c r="R136" i="1" a="1"/>
  <c r="R136" i="1" s="1"/>
  <c r="R137" i="1" a="1"/>
  <c r="R137" i="1" s="1"/>
  <c r="R138" i="1" a="1"/>
  <c r="R138" i="1" s="1"/>
  <c r="R139" i="1" a="1"/>
  <c r="R139" i="1" s="1"/>
  <c r="R140" i="1" a="1"/>
  <c r="R140" i="1" s="1"/>
  <c r="R141" i="1" a="1"/>
  <c r="R141" i="1" s="1"/>
  <c r="R142" i="1" a="1"/>
  <c r="R142" i="1" s="1"/>
  <c r="R143" i="1" a="1"/>
  <c r="R143" i="1" s="1"/>
  <c r="R144" i="1" a="1"/>
  <c r="R144" i="1" s="1"/>
  <c r="R145" i="1" a="1"/>
  <c r="R145" i="1" s="1"/>
  <c r="R146" i="1" a="1"/>
  <c r="R146" i="1" s="1"/>
  <c r="R147" i="1" a="1"/>
  <c r="R147" i="1" s="1"/>
  <c r="R148" i="1" a="1"/>
  <c r="R148" i="1" s="1"/>
  <c r="R149" i="1" a="1"/>
  <c r="R149" i="1" s="1"/>
  <c r="R150" i="1" a="1"/>
  <c r="R150" i="1" s="1"/>
  <c r="R151" i="1" a="1"/>
  <c r="R151" i="1" s="1"/>
  <c r="R152" i="1" a="1"/>
  <c r="R152" i="1" s="1"/>
  <c r="R153" i="1" a="1"/>
  <c r="R153" i="1" s="1"/>
  <c r="R154" i="1" a="1"/>
  <c r="R154" i="1" s="1"/>
  <c r="R155" i="1" a="1"/>
  <c r="R155" i="1" s="1"/>
  <c r="R156" i="1" a="1"/>
  <c r="R156" i="1" s="1"/>
  <c r="R157" i="1" a="1"/>
  <c r="R157" i="1" s="1"/>
  <c r="R158" i="1" a="1"/>
  <c r="R158" i="1" s="1"/>
  <c r="R159" i="1" a="1"/>
  <c r="R159" i="1" s="1"/>
  <c r="R160" i="1" a="1"/>
  <c r="R160" i="1" s="1"/>
  <c r="R161" i="1" a="1"/>
  <c r="R161" i="1" s="1"/>
  <c r="R162" i="1" a="1"/>
  <c r="R162" i="1" s="1"/>
  <c r="R163" i="1" a="1"/>
  <c r="R163" i="1" s="1"/>
  <c r="R164" i="1" a="1"/>
  <c r="R164" i="1" s="1"/>
  <c r="R165" i="1" a="1"/>
  <c r="R165" i="1" s="1"/>
  <c r="R166" i="1" a="1"/>
  <c r="R166" i="1" s="1"/>
  <c r="R167" i="1" a="1"/>
  <c r="R167" i="1" s="1"/>
  <c r="R168" i="1" a="1"/>
  <c r="R168" i="1" s="1"/>
  <c r="R169" i="1" a="1"/>
  <c r="R169" i="1" s="1"/>
  <c r="R170" i="1" a="1"/>
  <c r="R170" i="1" s="1"/>
  <c r="R171" i="1" a="1"/>
  <c r="R171" i="1" s="1"/>
  <c r="R172" i="1" a="1"/>
  <c r="R172" i="1" s="1"/>
  <c r="R173" i="1" a="1"/>
  <c r="R173" i="1" s="1"/>
  <c r="R174" i="1" a="1"/>
  <c r="R174" i="1" s="1"/>
  <c r="R175" i="1" a="1"/>
  <c r="R175" i="1" s="1"/>
  <c r="R176" i="1" a="1"/>
  <c r="R176" i="1" s="1"/>
  <c r="R177" i="1" a="1"/>
  <c r="R177" i="1" s="1"/>
  <c r="R178" i="1" a="1"/>
  <c r="R178" i="1" s="1"/>
  <c r="R179" i="1" a="1"/>
  <c r="R179" i="1" s="1"/>
  <c r="R180" i="1" a="1"/>
  <c r="R180" i="1" s="1"/>
  <c r="R181" i="1" a="1"/>
  <c r="R181" i="1" s="1"/>
  <c r="R182" i="1" a="1"/>
  <c r="R182" i="1" s="1"/>
  <c r="R183" i="1" a="1"/>
  <c r="R183" i="1" s="1"/>
  <c r="R184" i="1" a="1"/>
  <c r="R184" i="1" s="1"/>
  <c r="R185" i="1" a="1"/>
  <c r="R185" i="1" s="1"/>
  <c r="R186" i="1" a="1"/>
  <c r="R186" i="1" s="1"/>
  <c r="R187" i="1" a="1"/>
  <c r="R187" i="1" s="1"/>
  <c r="R188" i="1" a="1"/>
  <c r="R188" i="1" s="1"/>
  <c r="R189" i="1" a="1"/>
  <c r="R189" i="1" s="1"/>
  <c r="R190" i="1" a="1"/>
  <c r="R190" i="1" s="1"/>
  <c r="R191" i="1" a="1"/>
  <c r="R191" i="1" s="1"/>
  <c r="R192" i="1" a="1"/>
  <c r="R192" i="1" s="1"/>
  <c r="R193" i="1" a="1"/>
  <c r="R193" i="1" s="1"/>
  <c r="R194" i="1" a="1"/>
  <c r="R194" i="1" s="1"/>
  <c r="R195" i="1" a="1"/>
  <c r="R195" i="1" s="1"/>
  <c r="R196" i="1" a="1"/>
  <c r="R196" i="1" s="1"/>
  <c r="R197" i="1" a="1"/>
  <c r="R197" i="1" s="1"/>
  <c r="R198" i="1" a="1"/>
  <c r="R198" i="1" s="1"/>
  <c r="R199" i="1" a="1"/>
  <c r="R199" i="1" s="1"/>
  <c r="R200" i="1" a="1"/>
  <c r="R200" i="1" s="1"/>
  <c r="R201" i="1" a="1"/>
  <c r="R201" i="1" s="1"/>
  <c r="R202" i="1" a="1"/>
  <c r="R202" i="1" s="1"/>
  <c r="R203" i="1" a="1"/>
  <c r="R203" i="1" s="1"/>
  <c r="R204" i="1" a="1"/>
  <c r="R204" i="1" s="1"/>
  <c r="R205" i="1" a="1"/>
  <c r="R205" i="1" s="1"/>
  <c r="R206" i="1" a="1"/>
  <c r="R206" i="1" s="1"/>
  <c r="R207" i="1" a="1"/>
  <c r="R207" i="1" s="1"/>
  <c r="R208" i="1" a="1"/>
  <c r="R208" i="1" s="1"/>
  <c r="R209" i="1" a="1"/>
  <c r="R209" i="1" s="1"/>
  <c r="R210" i="1" a="1"/>
  <c r="R210" i="1" s="1"/>
  <c r="R211" i="1" a="1"/>
  <c r="R211" i="1" s="1"/>
  <c r="R212" i="1" a="1"/>
  <c r="R212" i="1" s="1"/>
  <c r="R213" i="1" a="1"/>
  <c r="R213" i="1" s="1"/>
  <c r="R214" i="1" a="1"/>
  <c r="R214" i="1" s="1"/>
  <c r="R215" i="1" a="1"/>
  <c r="R215" i="1" s="1"/>
  <c r="R216" i="1" a="1"/>
  <c r="R216" i="1" s="1"/>
  <c r="R217" i="1" a="1"/>
  <c r="R217" i="1" s="1"/>
  <c r="R218" i="1" a="1"/>
  <c r="R218" i="1" s="1"/>
  <c r="R219" i="1" a="1"/>
  <c r="R219" i="1" s="1"/>
  <c r="R220" i="1" a="1"/>
  <c r="R220" i="1" s="1"/>
  <c r="R221" i="1" a="1"/>
  <c r="R221" i="1" s="1"/>
  <c r="R222" i="1" a="1"/>
  <c r="R222" i="1" s="1"/>
  <c r="R223" i="1" a="1"/>
  <c r="R223" i="1" s="1"/>
  <c r="R224" i="1" a="1"/>
  <c r="R224" i="1" s="1"/>
  <c r="R225" i="1" a="1"/>
  <c r="R225" i="1" s="1"/>
  <c r="R226" i="1" a="1"/>
  <c r="R226" i="1" s="1"/>
  <c r="R227" i="1" a="1"/>
  <c r="R227" i="1" s="1"/>
  <c r="R228" i="1" a="1"/>
  <c r="R228" i="1" s="1"/>
  <c r="R229" i="1" a="1"/>
  <c r="R229" i="1" s="1"/>
  <c r="R230" i="1" a="1"/>
  <c r="R230" i="1" s="1"/>
  <c r="R231" i="1" a="1"/>
  <c r="R231" i="1" s="1"/>
  <c r="R232" i="1" a="1"/>
  <c r="R232" i="1" s="1"/>
  <c r="R233" i="1" a="1"/>
  <c r="R233" i="1" s="1"/>
  <c r="R234" i="1" a="1"/>
  <c r="R234" i="1" s="1"/>
  <c r="R235" i="1" a="1"/>
  <c r="R235" i="1" s="1"/>
  <c r="R236" i="1" a="1"/>
  <c r="R236" i="1" s="1"/>
  <c r="R237" i="1" a="1"/>
  <c r="R237" i="1" s="1"/>
  <c r="R238" i="1" a="1"/>
  <c r="R238" i="1" s="1"/>
  <c r="R239" i="1" a="1"/>
  <c r="R239" i="1" s="1"/>
  <c r="R240" i="1" a="1"/>
  <c r="R240" i="1" s="1"/>
  <c r="R241" i="1" a="1"/>
  <c r="R241" i="1" s="1"/>
  <c r="R242" i="1" a="1"/>
  <c r="R242" i="1" s="1"/>
  <c r="R243" i="1" a="1"/>
  <c r="R243" i="1" s="1"/>
  <c r="R244" i="1" a="1"/>
  <c r="R244" i="1" s="1"/>
  <c r="R245" i="1" a="1"/>
  <c r="R245" i="1" s="1"/>
  <c r="R246" i="1" a="1"/>
  <c r="R246" i="1" s="1"/>
  <c r="R247" i="1" a="1"/>
  <c r="R247" i="1" s="1"/>
  <c r="R248" i="1" a="1"/>
  <c r="R248" i="1" s="1"/>
  <c r="R249" i="1" a="1"/>
  <c r="R249" i="1" s="1"/>
  <c r="R250" i="1" a="1"/>
  <c r="R250" i="1" s="1"/>
  <c r="R251" i="1" a="1"/>
  <c r="R251" i="1" s="1"/>
  <c r="R252" i="1" a="1"/>
  <c r="R252" i="1" s="1"/>
  <c r="R253" i="1" a="1"/>
  <c r="R253" i="1" s="1"/>
  <c r="R254" i="1" a="1"/>
  <c r="R254" i="1" s="1"/>
  <c r="R255" i="1" a="1"/>
  <c r="R255" i="1" s="1"/>
  <c r="R256" i="1" a="1"/>
  <c r="R256" i="1" s="1"/>
  <c r="R257" i="1" a="1"/>
  <c r="R257" i="1" s="1"/>
  <c r="R258" i="1" a="1"/>
  <c r="R258" i="1" s="1"/>
  <c r="R259" i="1" a="1"/>
  <c r="R259" i="1" s="1"/>
  <c r="R260" i="1" a="1"/>
  <c r="R260" i="1" s="1"/>
  <c r="R261" i="1" a="1"/>
  <c r="R261" i="1" s="1"/>
  <c r="R262" i="1" a="1"/>
  <c r="R262" i="1" s="1"/>
  <c r="R263" i="1" a="1"/>
  <c r="R263" i="1" s="1"/>
  <c r="R264" i="1" a="1"/>
  <c r="R264" i="1" s="1"/>
  <c r="R265" i="1" a="1"/>
  <c r="R265" i="1" s="1"/>
  <c r="R266" i="1" a="1"/>
  <c r="R266" i="1" s="1"/>
  <c r="R267" i="1" a="1"/>
  <c r="R267" i="1" s="1"/>
  <c r="R268" i="1" a="1"/>
  <c r="R268" i="1" s="1"/>
  <c r="R269" i="1" a="1"/>
  <c r="R269" i="1" s="1"/>
  <c r="R270" i="1" a="1"/>
  <c r="R270" i="1" s="1"/>
  <c r="R271" i="1" a="1"/>
  <c r="R271" i="1" s="1"/>
  <c r="R272" i="1" a="1"/>
  <c r="R272" i="1" s="1"/>
  <c r="R273" i="1" a="1"/>
  <c r="R273" i="1" s="1"/>
  <c r="R274" i="1" a="1"/>
  <c r="R274" i="1" s="1"/>
  <c r="R275" i="1" a="1"/>
  <c r="R275" i="1" s="1"/>
  <c r="R276" i="1" a="1"/>
  <c r="R276" i="1" s="1"/>
  <c r="R277" i="1" a="1"/>
  <c r="R277" i="1" s="1"/>
  <c r="R278" i="1" a="1"/>
  <c r="R278" i="1" s="1"/>
  <c r="R279" i="1" a="1"/>
  <c r="R279" i="1" s="1"/>
  <c r="R280" i="1" a="1"/>
  <c r="R280" i="1" s="1"/>
  <c r="R281" i="1" a="1"/>
  <c r="R281" i="1" s="1"/>
  <c r="R282" i="1" a="1"/>
  <c r="R282" i="1" s="1"/>
  <c r="R283" i="1" a="1"/>
  <c r="R283" i="1" s="1"/>
  <c r="R284" i="1" a="1"/>
  <c r="R284" i="1" s="1"/>
  <c r="R285" i="1" a="1"/>
  <c r="R285" i="1" s="1"/>
  <c r="R286" i="1" a="1"/>
  <c r="R286" i="1" s="1"/>
  <c r="R287" i="1" a="1"/>
  <c r="R287" i="1" s="1"/>
  <c r="R288" i="1" a="1"/>
  <c r="R288" i="1" s="1"/>
  <c r="R289" i="1" a="1"/>
  <c r="R289" i="1" s="1"/>
  <c r="R290" i="1" a="1"/>
  <c r="R290" i="1" s="1"/>
  <c r="R291" i="1" a="1"/>
  <c r="R291" i="1" s="1"/>
  <c r="R292" i="1" a="1"/>
  <c r="R292" i="1" s="1"/>
  <c r="R293" i="1" a="1"/>
  <c r="R293" i="1" s="1"/>
  <c r="R294" i="1" a="1"/>
  <c r="R294" i="1" s="1"/>
  <c r="R295" i="1" a="1"/>
  <c r="R295" i="1" s="1"/>
  <c r="R296" i="1" a="1"/>
  <c r="R296" i="1" s="1"/>
  <c r="R297" i="1" a="1"/>
  <c r="R297" i="1" s="1"/>
  <c r="R298" i="1" a="1"/>
  <c r="R298" i="1" s="1"/>
  <c r="R299" i="1" a="1"/>
  <c r="R299" i="1" s="1"/>
  <c r="R300" i="1" a="1"/>
  <c r="R300" i="1" s="1"/>
  <c r="R301" i="1" a="1"/>
  <c r="R301" i="1" s="1"/>
  <c r="R302" i="1" a="1"/>
  <c r="R302" i="1" s="1"/>
  <c r="R303" i="1" a="1"/>
  <c r="R303" i="1" s="1"/>
  <c r="R304" i="1" a="1"/>
  <c r="R304" i="1" s="1"/>
  <c r="R305" i="1" a="1"/>
  <c r="R305" i="1" s="1"/>
  <c r="R306" i="1" a="1"/>
  <c r="R306" i="1" s="1"/>
  <c r="R307" i="1" a="1"/>
  <c r="R307" i="1" s="1"/>
  <c r="R308" i="1" a="1"/>
  <c r="R308" i="1" s="1"/>
  <c r="R309" i="1" a="1"/>
  <c r="R309" i="1" s="1"/>
  <c r="R310" i="1" a="1"/>
  <c r="R310" i="1" s="1"/>
  <c r="R311" i="1" a="1"/>
  <c r="R311" i="1" s="1"/>
  <c r="R312" i="1" a="1"/>
  <c r="R312" i="1" s="1"/>
  <c r="R313" i="1" a="1"/>
  <c r="R313" i="1" s="1"/>
  <c r="R314" i="1" a="1"/>
  <c r="R314" i="1" s="1"/>
  <c r="R315" i="1" a="1"/>
  <c r="R315" i="1" s="1"/>
  <c r="R316" i="1" a="1"/>
  <c r="R316" i="1" s="1"/>
  <c r="R317" i="1" a="1"/>
  <c r="R317" i="1" s="1"/>
  <c r="R318" i="1" a="1"/>
  <c r="R318" i="1" s="1"/>
  <c r="R319" i="1" a="1"/>
  <c r="R319" i="1" s="1"/>
  <c r="R320" i="1" a="1"/>
  <c r="R320" i="1" s="1"/>
  <c r="R321" i="1" a="1"/>
  <c r="R321" i="1" s="1"/>
  <c r="R322" i="1" a="1"/>
  <c r="R322" i="1" s="1"/>
  <c r="R323" i="1" a="1"/>
  <c r="R323" i="1" s="1"/>
  <c r="R324" i="1" a="1"/>
  <c r="R324" i="1" s="1"/>
  <c r="R325" i="1" a="1"/>
  <c r="R325" i="1" s="1"/>
  <c r="R326" i="1" a="1"/>
  <c r="R326" i="1" s="1"/>
  <c r="R327" i="1" a="1"/>
  <c r="R327" i="1" s="1"/>
  <c r="R328" i="1" a="1"/>
  <c r="R328" i="1" s="1"/>
  <c r="R329" i="1" a="1"/>
  <c r="R329" i="1" s="1"/>
  <c r="R330" i="1" a="1"/>
  <c r="R330" i="1" s="1"/>
  <c r="R331" i="1" a="1"/>
  <c r="R331" i="1" s="1"/>
  <c r="R332" i="1" a="1"/>
  <c r="R332" i="1" s="1"/>
  <c r="R333" i="1" a="1"/>
  <c r="R333" i="1" s="1"/>
  <c r="R334" i="1" a="1"/>
  <c r="R334" i="1" s="1"/>
  <c r="R335" i="1" a="1"/>
  <c r="R335" i="1" s="1"/>
  <c r="R336" i="1" a="1"/>
  <c r="R336" i="1" s="1"/>
  <c r="R337" i="1" a="1"/>
  <c r="R337" i="1" s="1"/>
  <c r="R338" i="1" a="1"/>
  <c r="R338" i="1" s="1"/>
  <c r="R339" i="1" a="1"/>
  <c r="R339" i="1" s="1"/>
  <c r="R340" i="1" a="1"/>
  <c r="R340" i="1" s="1"/>
  <c r="R341" i="1" a="1"/>
  <c r="R341" i="1" s="1"/>
  <c r="R342" i="1" a="1"/>
  <c r="R342" i="1" s="1"/>
  <c r="R343" i="1" a="1"/>
  <c r="R343" i="1" s="1"/>
  <c r="R344" i="1" a="1"/>
  <c r="R344" i="1" s="1"/>
  <c r="R345" i="1" a="1"/>
  <c r="R345" i="1" s="1"/>
  <c r="R346" i="1" a="1"/>
  <c r="R346" i="1" s="1"/>
  <c r="R347" i="1" a="1"/>
  <c r="R347" i="1" s="1"/>
  <c r="R348" i="1" a="1"/>
  <c r="R348" i="1" s="1"/>
  <c r="R349" i="1" a="1"/>
  <c r="R349" i="1" s="1"/>
  <c r="R350" i="1" a="1"/>
  <c r="R350" i="1" s="1"/>
  <c r="R351" i="1" a="1"/>
  <c r="R351" i="1" s="1"/>
  <c r="R352" i="1" a="1"/>
  <c r="R352" i="1" s="1"/>
  <c r="R353" i="1" a="1"/>
  <c r="R353" i="1" s="1"/>
  <c r="R354" i="1" a="1"/>
  <c r="R354" i="1" s="1"/>
  <c r="R355" i="1" a="1"/>
  <c r="R355" i="1" s="1"/>
  <c r="R356" i="1" a="1"/>
  <c r="R356" i="1" s="1"/>
  <c r="R357" i="1" a="1"/>
  <c r="R357" i="1" s="1"/>
  <c r="R358" i="1" a="1"/>
  <c r="R358" i="1" s="1"/>
  <c r="R359" i="1" a="1"/>
  <c r="R359" i="1" s="1"/>
  <c r="R360" i="1" a="1"/>
  <c r="R360" i="1" s="1"/>
  <c r="R361" i="1" a="1"/>
  <c r="R361" i="1" s="1"/>
  <c r="R362" i="1" a="1"/>
  <c r="R362" i="1" s="1"/>
  <c r="R363" i="1" a="1"/>
  <c r="R363" i="1" s="1"/>
  <c r="R364" i="1" a="1"/>
  <c r="R364" i="1" s="1"/>
  <c r="R365" i="1" a="1"/>
  <c r="R365" i="1" s="1"/>
  <c r="R366" i="1" a="1"/>
  <c r="R366" i="1" s="1"/>
  <c r="R367" i="1" a="1"/>
  <c r="R367" i="1" s="1"/>
  <c r="R368" i="1" a="1"/>
  <c r="R368" i="1" s="1"/>
  <c r="R369" i="1" a="1"/>
  <c r="R369" i="1" s="1"/>
  <c r="R370" i="1" a="1"/>
  <c r="R370" i="1" s="1"/>
  <c r="R371" i="1" a="1"/>
  <c r="R371" i="1" s="1"/>
  <c r="R372" i="1" a="1"/>
  <c r="R372" i="1" s="1"/>
  <c r="R373" i="1" a="1"/>
  <c r="R373" i="1" s="1"/>
  <c r="R374" i="1" a="1"/>
  <c r="R374" i="1" s="1"/>
  <c r="R375" i="1" a="1"/>
  <c r="R375" i="1" s="1"/>
  <c r="R376" i="1" a="1"/>
  <c r="R376" i="1" s="1"/>
  <c r="R377" i="1" a="1"/>
  <c r="R377" i="1" s="1"/>
  <c r="R378" i="1" a="1"/>
  <c r="R378" i="1" s="1"/>
  <c r="R379" i="1" a="1"/>
  <c r="R379" i="1" s="1"/>
  <c r="R380" i="1" a="1"/>
  <c r="R380" i="1" s="1"/>
  <c r="R381" i="1" a="1"/>
  <c r="R381" i="1" s="1"/>
  <c r="R382" i="1" a="1"/>
  <c r="R382" i="1" s="1"/>
  <c r="R383" i="1" a="1"/>
  <c r="R383" i="1" s="1"/>
  <c r="R384" i="1" a="1"/>
  <c r="R384" i="1" s="1"/>
  <c r="R385" i="1" a="1"/>
  <c r="R385" i="1" s="1"/>
  <c r="R386" i="1" a="1"/>
  <c r="R386" i="1" s="1"/>
  <c r="R387" i="1" a="1"/>
  <c r="R387" i="1" s="1"/>
  <c r="R388" i="1" a="1"/>
  <c r="R388" i="1" s="1"/>
  <c r="R389" i="1" a="1"/>
  <c r="R389" i="1" s="1"/>
  <c r="R390" i="1" a="1"/>
  <c r="R390" i="1" s="1"/>
  <c r="R391" i="1" a="1"/>
  <c r="R391" i="1" s="1"/>
  <c r="R392" i="1" a="1"/>
  <c r="R392" i="1" s="1"/>
  <c r="R393" i="1" a="1"/>
  <c r="R393" i="1" s="1"/>
  <c r="R394" i="1" a="1"/>
  <c r="R394" i="1" s="1"/>
  <c r="R395" i="1" a="1"/>
  <c r="R395" i="1" s="1"/>
  <c r="R396" i="1" a="1"/>
  <c r="R396" i="1"/>
  <c r="R397" i="1" a="1"/>
  <c r="R397" i="1"/>
  <c r="R398" i="1" a="1"/>
  <c r="R398" i="1"/>
  <c r="R399" i="1" a="1"/>
  <c r="R399" i="1" s="1"/>
  <c r="R400" i="1" a="1"/>
  <c r="R400" i="1" s="1"/>
  <c r="R401" i="1" a="1"/>
  <c r="R401" i="1" s="1"/>
  <c r="R402" i="1" a="1"/>
  <c r="R402" i="1" s="1"/>
  <c r="R403" i="1" a="1"/>
  <c r="R403" i="1" s="1"/>
  <c r="R404" i="1" a="1"/>
  <c r="R404" i="1"/>
  <c r="R405" i="1" a="1"/>
  <c r="R405" i="1" s="1"/>
  <c r="R406" i="1" a="1"/>
  <c r="R406" i="1" s="1"/>
  <c r="R407" i="1" a="1"/>
  <c r="R407" i="1" s="1"/>
  <c r="R408" i="1" a="1"/>
  <c r="R408" i="1" s="1"/>
  <c r="R409" i="1" a="1"/>
  <c r="R409" i="1" s="1"/>
  <c r="R410" i="1" a="1"/>
  <c r="R410" i="1" s="1"/>
  <c r="R411" i="1" a="1"/>
  <c r="R411" i="1" s="1"/>
  <c r="R412" i="1" a="1"/>
  <c r="R412" i="1"/>
  <c r="R413" i="1" a="1"/>
  <c r="R413" i="1" s="1"/>
  <c r="R414" i="1" a="1"/>
  <c r="R414" i="1" s="1"/>
  <c r="R415" i="1" a="1"/>
  <c r="R415" i="1" s="1"/>
  <c r="R416" i="1" a="1"/>
  <c r="R416" i="1" s="1"/>
  <c r="R417" i="1" a="1"/>
  <c r="R417" i="1" s="1"/>
  <c r="R418" i="1" a="1"/>
  <c r="R418" i="1" s="1"/>
  <c r="R419" i="1" a="1"/>
  <c r="R419" i="1" s="1"/>
  <c r="R420" i="1" a="1"/>
  <c r="R420" i="1" s="1"/>
  <c r="R421" i="1" a="1"/>
  <c r="R421" i="1"/>
  <c r="R422" i="1" a="1"/>
  <c r="R422" i="1" s="1"/>
  <c r="R423" i="1" a="1"/>
  <c r="R423" i="1" s="1"/>
  <c r="R424" i="1" a="1"/>
  <c r="R424" i="1" s="1"/>
  <c r="R425" i="1" a="1"/>
  <c r="R425" i="1" s="1"/>
  <c r="R426" i="1" a="1"/>
  <c r="R426" i="1" s="1"/>
  <c r="R427" i="1" a="1"/>
  <c r="R427" i="1" s="1"/>
  <c r="R428" i="1" a="1"/>
  <c r="R428" i="1"/>
  <c r="R429" i="1" a="1"/>
  <c r="R429" i="1"/>
  <c r="R430" i="1" a="1"/>
  <c r="R430" i="1" s="1"/>
  <c r="R431" i="1" a="1"/>
  <c r="R431" i="1" s="1"/>
  <c r="R432" i="1" a="1"/>
  <c r="R432" i="1" s="1"/>
  <c r="R433" i="1" a="1"/>
  <c r="R433" i="1" s="1"/>
  <c r="R434" i="1" a="1"/>
  <c r="R434" i="1" s="1"/>
  <c r="R435" i="1" a="1"/>
  <c r="R435" i="1" s="1"/>
  <c r="R436" i="1" a="1"/>
  <c r="R436" i="1" s="1"/>
  <c r="R437" i="1" a="1"/>
  <c r="R437" i="1" s="1"/>
  <c r="R438" i="1" a="1"/>
  <c r="R438" i="1"/>
  <c r="R439" i="1" a="1"/>
  <c r="R439" i="1" s="1"/>
  <c r="R440" i="1" a="1"/>
  <c r="R440" i="1" s="1"/>
  <c r="R441" i="1" a="1"/>
  <c r="R441" i="1" s="1"/>
  <c r="R442" i="1" a="1"/>
  <c r="R442" i="1" s="1"/>
  <c r="R443" i="1" a="1"/>
  <c r="R443" i="1" s="1"/>
  <c r="R444" i="1" a="1"/>
  <c r="R444" i="1"/>
  <c r="R445" i="1" a="1"/>
  <c r="R445" i="1" s="1"/>
  <c r="R446" i="1" a="1"/>
  <c r="R446" i="1" s="1"/>
  <c r="R447" i="1" a="1"/>
  <c r="R447" i="1" s="1"/>
  <c r="R448" i="1" a="1"/>
  <c r="R448" i="1" s="1"/>
  <c r="R449" i="1" a="1"/>
  <c r="R449" i="1" s="1"/>
  <c r="R450" i="1" a="1"/>
  <c r="R450" i="1" s="1"/>
  <c r="R451" i="1" a="1"/>
  <c r="R451" i="1" s="1"/>
  <c r="R452" i="1" a="1"/>
  <c r="R452" i="1" s="1"/>
  <c r="R453" i="1" a="1"/>
  <c r="R453" i="1" s="1"/>
  <c r="R454" i="1" a="1"/>
  <c r="R454" i="1" s="1"/>
  <c r="R455" i="1" a="1"/>
  <c r="R455" i="1" s="1"/>
  <c r="R456" i="1" a="1"/>
  <c r="R456" i="1" s="1"/>
  <c r="R457" i="1" a="1"/>
  <c r="R457" i="1" s="1"/>
  <c r="R458" i="1" a="1"/>
  <c r="R458" i="1" s="1"/>
  <c r="R459" i="1" a="1"/>
  <c r="R459" i="1" s="1"/>
  <c r="R460" i="1" a="1"/>
  <c r="R460" i="1" s="1"/>
  <c r="R461" i="1" a="1"/>
  <c r="R461" i="1" s="1"/>
  <c r="R462" i="1" a="1"/>
  <c r="R462" i="1" s="1"/>
  <c r="R463" i="1" a="1"/>
  <c r="R463" i="1" s="1"/>
  <c r="R464" i="1" a="1"/>
  <c r="R464" i="1"/>
  <c r="R465" i="1" a="1"/>
  <c r="R465" i="1" s="1"/>
  <c r="R466" i="1" a="1"/>
  <c r="R466" i="1" s="1"/>
  <c r="R467" i="1" a="1"/>
  <c r="R467" i="1" s="1"/>
  <c r="R468" i="1" a="1"/>
  <c r="R468" i="1" s="1"/>
  <c r="R469" i="1" a="1"/>
  <c r="R469" i="1" s="1"/>
  <c r="R470" i="1" a="1"/>
  <c r="R470" i="1" s="1"/>
  <c r="R471" i="1" a="1"/>
  <c r="R471" i="1" s="1"/>
  <c r="R472" i="1" a="1"/>
  <c r="R472" i="1" s="1"/>
  <c r="R473" i="1" a="1"/>
  <c r="R473" i="1" s="1"/>
  <c r="R474" i="1" a="1"/>
  <c r="R474" i="1" s="1"/>
  <c r="R475" i="1" a="1"/>
  <c r="R475" i="1" s="1"/>
  <c r="R476" i="1" a="1"/>
  <c r="R476" i="1" s="1"/>
  <c r="R477" i="1" a="1"/>
  <c r="R477" i="1" s="1"/>
  <c r="R478" i="1" a="1"/>
  <c r="R478" i="1" s="1"/>
  <c r="R479" i="1" a="1"/>
  <c r="R479" i="1" s="1"/>
  <c r="R480" i="1" a="1"/>
  <c r="R480" i="1" s="1"/>
  <c r="R481" i="1" a="1"/>
  <c r="R481" i="1" s="1"/>
  <c r="R482" i="1" a="1"/>
  <c r="R482" i="1" s="1"/>
  <c r="R483" i="1" a="1"/>
  <c r="R483" i="1" s="1"/>
  <c r="R484" i="1" a="1"/>
  <c r="R484" i="1" s="1"/>
  <c r="R485" i="1" a="1"/>
  <c r="R485" i="1" s="1"/>
  <c r="R486" i="1" a="1"/>
  <c r="R486" i="1"/>
  <c r="R487" i="1" a="1"/>
  <c r="R487" i="1" s="1"/>
  <c r="R488" i="1" a="1"/>
  <c r="R488" i="1" s="1"/>
  <c r="R489" i="1" a="1"/>
  <c r="R489" i="1" s="1"/>
  <c r="R490" i="1" a="1"/>
  <c r="R490" i="1" s="1"/>
  <c r="R491" i="1" a="1"/>
  <c r="R491" i="1" s="1"/>
  <c r="R492" i="1" a="1"/>
  <c r="R492" i="1" s="1"/>
  <c r="R493" i="1" a="1"/>
  <c r="R493" i="1" s="1"/>
  <c r="R494" i="1" a="1"/>
  <c r="R494" i="1" s="1"/>
  <c r="R495" i="1" a="1"/>
  <c r="R495" i="1" s="1"/>
  <c r="R496" i="1" a="1"/>
  <c r="R496" i="1" s="1"/>
  <c r="R497" i="1" a="1"/>
  <c r="R497" i="1" s="1"/>
  <c r="R498" i="1" a="1"/>
  <c r="R498" i="1" s="1"/>
  <c r="R499" i="1" a="1"/>
  <c r="R499" i="1" s="1"/>
  <c r="R500" i="1" a="1"/>
  <c r="R500" i="1" s="1"/>
  <c r="R501" i="1" a="1"/>
  <c r="R501" i="1" s="1"/>
  <c r="R502" i="1" a="1"/>
  <c r="R502" i="1" s="1"/>
  <c r="R503" i="1" a="1"/>
  <c r="R503" i="1" s="1"/>
  <c r="R504" i="1" a="1"/>
  <c r="R504" i="1" s="1"/>
  <c r="R505" i="1" a="1"/>
  <c r="R505" i="1" s="1"/>
  <c r="R506" i="1" a="1"/>
  <c r="R506" i="1" s="1"/>
  <c r="R507" i="1" a="1"/>
  <c r="R507" i="1" s="1"/>
  <c r="R508" i="1" a="1"/>
  <c r="R508" i="1"/>
  <c r="R509" i="1" a="1"/>
  <c r="R509" i="1" s="1"/>
  <c r="R510" i="1" a="1"/>
  <c r="R510" i="1" s="1"/>
  <c r="R511" i="1" a="1"/>
  <c r="R511" i="1" s="1"/>
  <c r="R512" i="1" a="1"/>
  <c r="R512" i="1" s="1"/>
  <c r="R513" i="1" a="1"/>
  <c r="R513" i="1" s="1"/>
  <c r="R514" i="1" a="1"/>
  <c r="R514" i="1" s="1"/>
  <c r="R515" i="1" a="1"/>
  <c r="R515" i="1" s="1"/>
  <c r="R516" i="1" a="1"/>
  <c r="R516" i="1" s="1"/>
  <c r="R517" i="1" a="1"/>
  <c r="R517" i="1" s="1"/>
  <c r="R518" i="1" a="1"/>
  <c r="R518" i="1" s="1"/>
  <c r="R519" i="1" a="1"/>
  <c r="R519" i="1" s="1"/>
  <c r="R520" i="1" a="1"/>
  <c r="R520" i="1" s="1"/>
  <c r="R521" i="1" a="1"/>
  <c r="R521" i="1" s="1"/>
  <c r="R522" i="1" a="1"/>
  <c r="R522" i="1" s="1"/>
  <c r="R523" i="1" a="1"/>
  <c r="R523" i="1" s="1"/>
  <c r="R524" i="1" a="1"/>
  <c r="R524" i="1" s="1"/>
  <c r="R525" i="1" a="1"/>
  <c r="R525" i="1" s="1"/>
  <c r="R526" i="1" a="1"/>
  <c r="R526" i="1" s="1"/>
  <c r="R527" i="1" a="1"/>
  <c r="R527" i="1" s="1"/>
  <c r="R528" i="1" a="1"/>
  <c r="R528" i="1" s="1"/>
  <c r="R529" i="1" a="1"/>
  <c r="R529" i="1" s="1"/>
  <c r="R530" i="1" a="1"/>
  <c r="R530" i="1" s="1"/>
  <c r="R531" i="1" a="1"/>
  <c r="R531" i="1" s="1"/>
  <c r="R532" i="1" a="1"/>
  <c r="R532" i="1"/>
  <c r="R533" i="1" a="1"/>
  <c r="R533" i="1" s="1"/>
  <c r="R534" i="1" a="1"/>
  <c r="R534" i="1" s="1"/>
  <c r="R535" i="1" a="1"/>
  <c r="R535" i="1" s="1"/>
  <c r="R536" i="1" a="1"/>
  <c r="R536" i="1" s="1"/>
  <c r="R537" i="1" a="1"/>
  <c r="R537" i="1" s="1"/>
  <c r="R538" i="1" a="1"/>
  <c r="R538" i="1" s="1"/>
  <c r="R539" i="1" a="1"/>
  <c r="R539" i="1" s="1"/>
  <c r="R540" i="1" a="1"/>
  <c r="R540" i="1"/>
  <c r="R541" i="1" a="1"/>
  <c r="R541" i="1" s="1"/>
  <c r="R542" i="1" a="1"/>
  <c r="R542" i="1" s="1"/>
  <c r="R543" i="1" a="1"/>
  <c r="R543" i="1" s="1"/>
  <c r="R544" i="1" a="1"/>
  <c r="R544" i="1" s="1"/>
  <c r="R545" i="1" a="1"/>
  <c r="R545" i="1" s="1"/>
  <c r="R546" i="1" a="1"/>
  <c r="R546" i="1" s="1"/>
  <c r="R547" i="1" a="1"/>
  <c r="R547" i="1" s="1"/>
  <c r="R548" i="1" a="1"/>
  <c r="R548" i="1" s="1"/>
  <c r="R549" i="1" a="1"/>
  <c r="R549" i="1" s="1"/>
  <c r="R550" i="1" a="1"/>
  <c r="R550" i="1" s="1"/>
  <c r="R551" i="1" a="1"/>
  <c r="R551" i="1" s="1"/>
  <c r="R552" i="1" a="1"/>
  <c r="R552" i="1" s="1"/>
  <c r="R553" i="1" a="1"/>
  <c r="R553" i="1" s="1"/>
  <c r="R554" i="1" a="1"/>
  <c r="R554" i="1"/>
  <c r="R555" i="1" a="1"/>
  <c r="R555" i="1" s="1"/>
  <c r="R556" i="1" a="1"/>
  <c r="R556" i="1" s="1"/>
  <c r="R557" i="1" a="1"/>
  <c r="R557" i="1" s="1"/>
  <c r="R558" i="1" a="1"/>
  <c r="R558" i="1" s="1"/>
  <c r="R559" i="1" a="1"/>
  <c r="R559" i="1" s="1"/>
  <c r="R560" i="1" a="1"/>
  <c r="R560" i="1"/>
  <c r="R561" i="1" a="1"/>
  <c r="R561" i="1" s="1"/>
  <c r="R562" i="1" a="1"/>
  <c r="R562" i="1" s="1"/>
  <c r="R563" i="1" a="1"/>
  <c r="R563" i="1" s="1"/>
  <c r="R564" i="1" a="1"/>
  <c r="R564" i="1" s="1"/>
  <c r="R565" i="1" a="1"/>
  <c r="R565" i="1" s="1"/>
  <c r="R566" i="1" a="1"/>
  <c r="R566" i="1" s="1"/>
  <c r="R567" i="1" a="1"/>
  <c r="R567" i="1" s="1"/>
  <c r="R568" i="1" a="1"/>
  <c r="R568" i="1" s="1"/>
  <c r="R569" i="1" a="1"/>
  <c r="R569" i="1" s="1"/>
  <c r="R570" i="1" a="1"/>
  <c r="R570" i="1" s="1"/>
  <c r="R571" i="1" a="1"/>
  <c r="R571" i="1" s="1"/>
  <c r="R572" i="1" a="1"/>
  <c r="R572" i="1"/>
  <c r="R573" i="1" a="1"/>
  <c r="R573" i="1" s="1"/>
  <c r="R574" i="1" a="1"/>
  <c r="R574" i="1" s="1"/>
  <c r="R575" i="1" a="1"/>
  <c r="R575" i="1" s="1"/>
  <c r="R576" i="1" a="1"/>
  <c r="R576" i="1" s="1"/>
  <c r="R577" i="1" a="1"/>
  <c r="R577" i="1" s="1"/>
  <c r="R578" i="1" a="1"/>
  <c r="R578" i="1" s="1"/>
  <c r="R579" i="1" a="1"/>
  <c r="R579" i="1" s="1"/>
  <c r="R580" i="1" a="1"/>
  <c r="R580" i="1" s="1"/>
  <c r="R581" i="1" a="1"/>
  <c r="R581" i="1" s="1"/>
  <c r="R582" i="1" a="1"/>
  <c r="R582" i="1" s="1"/>
  <c r="R583" i="1" a="1"/>
  <c r="R583" i="1" s="1"/>
  <c r="R584" i="1" a="1"/>
  <c r="R584" i="1" s="1"/>
  <c r="R585" i="1" a="1"/>
  <c r="R585" i="1" s="1"/>
  <c r="R586" i="1" a="1"/>
  <c r="R586" i="1" s="1"/>
  <c r="R587" i="1" a="1"/>
  <c r="R587" i="1"/>
  <c r="R588" i="1" a="1"/>
  <c r="R588" i="1" s="1"/>
  <c r="R589" i="1" a="1"/>
  <c r="R589" i="1" s="1"/>
  <c r="R590" i="1" a="1"/>
  <c r="R590" i="1" s="1"/>
  <c r="R591" i="1" a="1"/>
  <c r="R591" i="1" s="1"/>
  <c r="R592" i="1" a="1"/>
  <c r="R592" i="1" s="1"/>
  <c r="R593" i="1" a="1"/>
  <c r="R593" i="1" s="1"/>
  <c r="R594" i="1" a="1"/>
  <c r="R594" i="1" s="1"/>
  <c r="R595" i="1" a="1"/>
  <c r="R595" i="1" s="1"/>
  <c r="R596" i="1" a="1"/>
  <c r="R596" i="1" s="1"/>
  <c r="R597" i="1" a="1"/>
  <c r="R597" i="1" s="1"/>
  <c r="R598" i="1" a="1"/>
  <c r="R598" i="1" s="1"/>
  <c r="R599" i="1" a="1"/>
  <c r="R599" i="1" s="1"/>
  <c r="R600" i="1" a="1"/>
  <c r="R600" i="1" s="1"/>
  <c r="R601" i="1" a="1"/>
  <c r="R601" i="1" s="1"/>
  <c r="R602" i="1" a="1"/>
  <c r="R602" i="1" s="1"/>
  <c r="R603" i="1" a="1"/>
  <c r="R603" i="1" s="1"/>
  <c r="R604" i="1" a="1"/>
  <c r="R604" i="1"/>
  <c r="R605" i="1" a="1"/>
  <c r="R605" i="1" s="1"/>
  <c r="R606" i="1" a="1"/>
  <c r="R606" i="1" s="1"/>
  <c r="R607" i="1" a="1"/>
  <c r="R607" i="1" s="1"/>
  <c r="R608" i="1" a="1"/>
  <c r="R608" i="1" s="1"/>
  <c r="R609" i="1" a="1"/>
  <c r="R609" i="1" s="1"/>
  <c r="R610" i="1" a="1"/>
  <c r="R610" i="1" s="1"/>
  <c r="R611" i="1" a="1"/>
  <c r="R611" i="1" s="1"/>
  <c r="R612" i="1" a="1"/>
  <c r="R612" i="1" s="1"/>
  <c r="R613" i="1" a="1"/>
  <c r="R613" i="1" s="1"/>
  <c r="R614" i="1" a="1"/>
  <c r="R614" i="1" s="1"/>
  <c r="R615" i="1" a="1"/>
  <c r="R615" i="1" s="1"/>
  <c r="R616" i="1" a="1"/>
  <c r="R616" i="1" s="1"/>
  <c r="R617" i="1" a="1"/>
  <c r="R617" i="1" s="1"/>
  <c r="R618" i="1" a="1"/>
  <c r="R618" i="1" s="1"/>
  <c r="R619" i="1" a="1"/>
  <c r="R619" i="1" s="1"/>
  <c r="R620" i="1" a="1"/>
  <c r="R620" i="1" s="1"/>
  <c r="R621" i="1" a="1"/>
  <c r="R621" i="1" s="1"/>
  <c r="R622" i="1" a="1"/>
  <c r="R622" i="1" s="1"/>
  <c r="R623" i="1" a="1"/>
  <c r="R623" i="1" s="1"/>
  <c r="R624" i="1" a="1"/>
  <c r="R624" i="1" s="1"/>
  <c r="R625" i="1" a="1"/>
  <c r="R625" i="1" s="1"/>
  <c r="R626" i="1" a="1"/>
  <c r="R626" i="1" s="1"/>
  <c r="R627" i="1" a="1"/>
  <c r="R627" i="1"/>
  <c r="R628" i="1" a="1"/>
  <c r="R628" i="1" s="1"/>
  <c r="R629" i="1" a="1"/>
  <c r="R629" i="1" s="1"/>
  <c r="R630" i="1" a="1"/>
  <c r="R630" i="1" s="1"/>
  <c r="R631" i="1" a="1"/>
  <c r="R631" i="1" s="1"/>
  <c r="R632" i="1" a="1"/>
  <c r="R632" i="1" s="1"/>
  <c r="R633" i="1" a="1"/>
  <c r="R633" i="1" s="1"/>
  <c r="R634" i="1" a="1"/>
  <c r="R634" i="1" s="1"/>
  <c r="R635" i="1" a="1"/>
  <c r="R635" i="1" s="1"/>
  <c r="R636" i="1" a="1"/>
  <c r="R636" i="1"/>
  <c r="R637" i="1" a="1"/>
  <c r="R637" i="1" s="1"/>
  <c r="R638" i="1" a="1"/>
  <c r="R638" i="1" s="1"/>
  <c r="R639" i="1" a="1"/>
  <c r="R639" i="1" s="1"/>
  <c r="R640" i="1" a="1"/>
  <c r="R640" i="1" s="1"/>
  <c r="R641" i="1" a="1"/>
  <c r="R641" i="1" s="1"/>
  <c r="R642" i="1" a="1"/>
  <c r="R642" i="1" s="1"/>
  <c r="R643" i="1" a="1"/>
  <c r="R643" i="1" s="1"/>
  <c r="R644" i="1" a="1"/>
  <c r="R644" i="1" s="1"/>
  <c r="R645" i="1" a="1"/>
  <c r="R645" i="1" s="1"/>
  <c r="R646" i="1" a="1"/>
  <c r="R646" i="1" s="1"/>
  <c r="R647" i="1" a="1"/>
  <c r="R647" i="1" s="1"/>
  <c r="R648" i="1" a="1"/>
  <c r="R648" i="1" s="1"/>
  <c r="R649" i="1" a="1"/>
  <c r="R649" i="1" s="1"/>
  <c r="R650" i="1" a="1"/>
  <c r="R650" i="1" s="1"/>
  <c r="R651" i="1" a="1"/>
  <c r="R651" i="1" s="1"/>
  <c r="R652" i="1" a="1"/>
  <c r="R652" i="1" s="1"/>
  <c r="R653" i="1" a="1"/>
  <c r="R653" i="1" s="1"/>
  <c r="R654" i="1" a="1"/>
  <c r="R654" i="1" s="1"/>
  <c r="R655" i="1" a="1"/>
  <c r="R655" i="1" s="1"/>
  <c r="R656" i="1" a="1"/>
  <c r="R656" i="1" s="1"/>
  <c r="R657" i="1" a="1"/>
  <c r="R657" i="1" s="1"/>
  <c r="R658" i="1" a="1"/>
  <c r="R658" i="1" s="1"/>
  <c r="R659" i="1" a="1"/>
  <c r="R659" i="1" s="1"/>
  <c r="R660" i="1" a="1"/>
  <c r="R660" i="1"/>
  <c r="R661" i="1" a="1"/>
  <c r="R661" i="1" s="1"/>
  <c r="R662" i="1" a="1"/>
  <c r="R662" i="1" s="1"/>
  <c r="R663" i="1" a="1"/>
  <c r="R663" i="1" s="1"/>
  <c r="R664" i="1" a="1"/>
  <c r="R664" i="1" s="1"/>
  <c r="R665" i="1" a="1"/>
  <c r="R665" i="1" s="1"/>
  <c r="R666" i="1" a="1"/>
  <c r="R666" i="1" s="1"/>
  <c r="R667" i="1" a="1"/>
  <c r="R667" i="1" s="1"/>
  <c r="R668" i="1" a="1"/>
  <c r="R668" i="1"/>
  <c r="R669" i="1" a="1"/>
  <c r="R669" i="1" s="1"/>
  <c r="R670" i="1" a="1"/>
  <c r="R670" i="1" s="1"/>
  <c r="R671" i="1" a="1"/>
  <c r="R671" i="1" s="1"/>
  <c r="R672" i="1" a="1"/>
  <c r="R672" i="1" s="1"/>
  <c r="R673" i="1" a="1"/>
  <c r="R673" i="1" s="1"/>
  <c r="R674" i="1" a="1"/>
  <c r="R674" i="1" s="1"/>
  <c r="R675" i="1" a="1"/>
  <c r="R675" i="1" s="1"/>
  <c r="R676" i="1" a="1"/>
  <c r="R676" i="1" s="1"/>
  <c r="R677" i="1" a="1"/>
  <c r="R677" i="1" s="1"/>
  <c r="R678" i="1" a="1"/>
  <c r="R678" i="1" s="1"/>
  <c r="R679" i="1" a="1"/>
  <c r="R679" i="1" s="1"/>
  <c r="R680" i="1" a="1"/>
  <c r="R680" i="1" s="1"/>
  <c r="R681" i="1" a="1"/>
  <c r="R681" i="1" s="1"/>
  <c r="R682" i="1" a="1"/>
  <c r="R682" i="1"/>
  <c r="R683" i="1" a="1"/>
  <c r="R683" i="1" s="1"/>
  <c r="R684" i="1" a="1"/>
  <c r="R684" i="1" s="1"/>
  <c r="R685" i="1" a="1"/>
  <c r="R685" i="1" s="1"/>
  <c r="R686" i="1" a="1"/>
  <c r="R686" i="1" s="1"/>
  <c r="R687" i="1" a="1"/>
  <c r="R687" i="1" s="1"/>
  <c r="R688" i="1" a="1"/>
  <c r="R688" i="1"/>
  <c r="R689" i="1" a="1"/>
  <c r="R689" i="1" s="1"/>
  <c r="R690" i="1" a="1"/>
  <c r="R690" i="1" s="1"/>
  <c r="R691" i="1" a="1"/>
  <c r="R691" i="1" s="1"/>
  <c r="R692" i="1" a="1"/>
  <c r="R692" i="1" s="1"/>
  <c r="R693" i="1" a="1"/>
  <c r="R693" i="1" s="1"/>
  <c r="R694" i="1" a="1"/>
  <c r="R694" i="1" s="1"/>
  <c r="R695" i="1" a="1"/>
  <c r="R695" i="1" s="1"/>
  <c r="R696" i="1" a="1"/>
  <c r="R696" i="1" s="1"/>
  <c r="R697" i="1" a="1"/>
  <c r="R697" i="1" s="1"/>
  <c r="R698" i="1" a="1"/>
  <c r="R698" i="1" s="1"/>
  <c r="R699" i="1" a="1"/>
  <c r="R699" i="1" s="1"/>
  <c r="R700" i="1" a="1"/>
  <c r="R700" i="1"/>
  <c r="R701" i="1" a="1"/>
  <c r="R701" i="1" s="1"/>
  <c r="R702" i="1" a="1"/>
  <c r="R702" i="1" s="1"/>
  <c r="R703" i="1" a="1"/>
  <c r="R703" i="1" s="1"/>
  <c r="R704" i="1" a="1"/>
  <c r="R704" i="1" s="1"/>
  <c r="R705" i="1" a="1"/>
  <c r="R705" i="1" s="1"/>
  <c r="R706" i="1" a="1"/>
  <c r="R706" i="1" s="1"/>
  <c r="R707" i="1" a="1"/>
  <c r="R707" i="1" s="1"/>
  <c r="R708" i="1" a="1"/>
  <c r="R708" i="1" s="1"/>
  <c r="R709" i="1" a="1"/>
  <c r="R709" i="1" s="1"/>
  <c r="R710" i="1" a="1"/>
  <c r="R710" i="1" s="1"/>
  <c r="R711" i="1" a="1"/>
  <c r="R711" i="1" s="1"/>
  <c r="R712" i="1" a="1"/>
  <c r="R712" i="1" s="1"/>
  <c r="R713" i="1" a="1"/>
  <c r="R713" i="1" s="1"/>
  <c r="R714" i="1" a="1"/>
  <c r="R714" i="1" s="1"/>
  <c r="R715" i="1" a="1"/>
  <c r="R715" i="1"/>
  <c r="R716" i="1" a="1"/>
  <c r="R716" i="1" s="1"/>
  <c r="R717" i="1" a="1"/>
  <c r="R717" i="1" s="1"/>
  <c r="R718" i="1" a="1"/>
  <c r="R718" i="1" s="1"/>
  <c r="R719" i="1" a="1"/>
  <c r="R719" i="1" s="1"/>
  <c r="R720" i="1" a="1"/>
  <c r="R720" i="1" s="1"/>
  <c r="R721" i="1" a="1"/>
  <c r="R721" i="1" s="1"/>
  <c r="R722" i="1" a="1"/>
  <c r="R722" i="1" s="1"/>
  <c r="R723" i="1" a="1"/>
  <c r="R723" i="1" s="1"/>
  <c r="R724" i="1" a="1"/>
  <c r="R724" i="1" s="1"/>
  <c r="R725" i="1" a="1"/>
  <c r="R725" i="1" s="1"/>
  <c r="R726" i="1" a="1"/>
  <c r="R726" i="1" s="1"/>
  <c r="R727" i="1" a="1"/>
  <c r="R727" i="1" s="1"/>
  <c r="R728" i="1" a="1"/>
  <c r="R728" i="1" s="1"/>
  <c r="R729" i="1" a="1"/>
  <c r="R729" i="1" s="1"/>
  <c r="R730" i="1" a="1"/>
  <c r="R730" i="1" s="1"/>
  <c r="R731" i="1" a="1"/>
  <c r="R731" i="1" s="1"/>
  <c r="R732" i="1" a="1"/>
  <c r="R732" i="1"/>
  <c r="R733" i="1" a="1"/>
  <c r="R733" i="1" s="1"/>
  <c r="R734" i="1" a="1"/>
  <c r="R734" i="1" s="1"/>
  <c r="R735" i="1" a="1"/>
  <c r="R735" i="1" s="1"/>
  <c r="R736" i="1" a="1"/>
  <c r="R736" i="1" s="1"/>
  <c r="R737" i="1" a="1"/>
  <c r="R737" i="1" s="1"/>
  <c r="R738" i="1" a="1"/>
  <c r="R738" i="1" s="1"/>
  <c r="R739" i="1" a="1"/>
  <c r="R739" i="1" s="1"/>
  <c r="R740" i="1" a="1"/>
  <c r="R740" i="1" s="1"/>
  <c r="R741" i="1" a="1"/>
  <c r="R741" i="1" s="1"/>
  <c r="R742" i="1" a="1"/>
  <c r="R742" i="1" s="1"/>
  <c r="R743" i="1" a="1"/>
  <c r="R743" i="1" s="1"/>
  <c r="R744" i="1" a="1"/>
  <c r="R744" i="1" s="1"/>
  <c r="R745" i="1" a="1"/>
  <c r="R745" i="1" s="1"/>
  <c r="R746" i="1" a="1"/>
  <c r="R746" i="1" s="1"/>
  <c r="R747" i="1" a="1"/>
  <c r="R747" i="1" s="1"/>
  <c r="R748" i="1" a="1"/>
  <c r="R748" i="1" s="1"/>
  <c r="R749" i="1" a="1"/>
  <c r="R749" i="1" s="1"/>
  <c r="R750" i="1" a="1"/>
  <c r="R750" i="1" s="1"/>
  <c r="R751" i="1" a="1"/>
  <c r="R751" i="1" s="1"/>
  <c r="R752" i="1" a="1"/>
  <c r="R752" i="1" s="1"/>
  <c r="R753" i="1" a="1"/>
  <c r="R753" i="1" s="1"/>
  <c r="R754" i="1" a="1"/>
  <c r="R754" i="1" s="1"/>
  <c r="R755" i="1" a="1"/>
  <c r="R755" i="1"/>
  <c r="R756" i="1" a="1"/>
  <c r="R756" i="1" s="1"/>
  <c r="R757" i="1" a="1"/>
  <c r="R757" i="1" s="1"/>
  <c r="R758" i="1" a="1"/>
  <c r="R758" i="1" s="1"/>
  <c r="R759" i="1" a="1"/>
  <c r="R759" i="1" s="1"/>
  <c r="R760" i="1" a="1"/>
  <c r="R760" i="1" s="1"/>
  <c r="R761" i="1" a="1"/>
  <c r="R761" i="1" s="1"/>
  <c r="R762" i="1" a="1"/>
  <c r="R762" i="1" s="1"/>
  <c r="R763" i="1" a="1"/>
  <c r="R763" i="1" s="1"/>
  <c r="R764" i="1" a="1"/>
  <c r="R764" i="1"/>
  <c r="R765" i="1" a="1"/>
  <c r="R765" i="1" s="1"/>
  <c r="R766" i="1" a="1"/>
  <c r="R766" i="1" s="1"/>
  <c r="R767" i="1" a="1"/>
  <c r="R767" i="1" s="1"/>
  <c r="R768" i="1" a="1"/>
  <c r="R768" i="1" s="1"/>
  <c r="R769" i="1" a="1"/>
  <c r="R769" i="1" s="1"/>
  <c r="R770" i="1" a="1"/>
  <c r="R770" i="1" s="1"/>
  <c r="R771" i="1" a="1"/>
  <c r="R771" i="1" s="1"/>
  <c r="R772" i="1" a="1"/>
  <c r="R772" i="1" s="1"/>
  <c r="R773" i="1" a="1"/>
  <c r="R773" i="1" s="1"/>
  <c r="R774" i="1" a="1"/>
  <c r="R774" i="1" s="1"/>
  <c r="R775" i="1" a="1"/>
  <c r="R775" i="1" s="1"/>
  <c r="R776" i="1" a="1"/>
  <c r="R776" i="1" s="1"/>
  <c r="R777" i="1" a="1"/>
  <c r="R777" i="1" s="1"/>
  <c r="R778" i="1" a="1"/>
  <c r="R778" i="1" s="1"/>
  <c r="R779" i="1" a="1"/>
  <c r="R779" i="1" s="1"/>
  <c r="R780" i="1" a="1"/>
  <c r="R780" i="1" s="1"/>
  <c r="R781" i="1" a="1"/>
  <c r="R781" i="1" s="1"/>
  <c r="R782" i="1" a="1"/>
  <c r="R782" i="1" s="1"/>
  <c r="R783" i="1" a="1"/>
  <c r="R783" i="1" s="1"/>
  <c r="R784" i="1" a="1"/>
  <c r="R784" i="1" s="1"/>
  <c r="R785" i="1" a="1"/>
  <c r="R785" i="1" s="1"/>
  <c r="R786" i="1" a="1"/>
  <c r="R786" i="1" s="1"/>
  <c r="R787" i="1" a="1"/>
  <c r="R787" i="1" s="1"/>
  <c r="R788" i="1" a="1"/>
  <c r="R788" i="1"/>
  <c r="R789" i="1" a="1"/>
  <c r="R789" i="1" s="1"/>
  <c r="R790" i="1" a="1"/>
  <c r="R790" i="1" s="1"/>
  <c r="R791" i="1" a="1"/>
  <c r="R791" i="1" s="1"/>
  <c r="R792" i="1" a="1"/>
  <c r="R792" i="1" s="1"/>
  <c r="R793" i="1" a="1"/>
  <c r="R793" i="1"/>
  <c r="R794" i="1" a="1"/>
  <c r="R794" i="1" s="1"/>
  <c r="R795" i="1" a="1"/>
  <c r="R795" i="1" s="1"/>
  <c r="R796" i="1" a="1"/>
  <c r="R796" i="1" s="1"/>
  <c r="R797" i="1" a="1"/>
  <c r="R797" i="1" s="1"/>
  <c r="R798" i="1" a="1"/>
  <c r="R798" i="1" s="1"/>
  <c r="R799" i="1" a="1"/>
  <c r="R799" i="1" s="1"/>
  <c r="R800" i="1" a="1"/>
  <c r="R800" i="1" s="1"/>
  <c r="R801" i="1" a="1"/>
  <c r="R801" i="1" s="1"/>
  <c r="R802" i="1" a="1"/>
  <c r="R802" i="1" s="1"/>
  <c r="R803" i="1" a="1"/>
  <c r="R803" i="1" s="1"/>
  <c r="R804" i="1" a="1"/>
  <c r="R804" i="1"/>
  <c r="R805" i="1" a="1"/>
  <c r="R805" i="1" s="1"/>
  <c r="R806" i="1" a="1"/>
  <c r="R806" i="1" s="1"/>
  <c r="R807" i="1" a="1"/>
  <c r="R807" i="1" s="1"/>
  <c r="R808" i="1" a="1"/>
  <c r="R808" i="1" s="1"/>
  <c r="R809" i="1" a="1"/>
  <c r="R809" i="1"/>
  <c r="R810" i="1" a="1"/>
  <c r="R810" i="1" s="1"/>
  <c r="R811" i="1" a="1"/>
  <c r="R811" i="1" s="1"/>
  <c r="R812" i="1" a="1"/>
  <c r="R812" i="1" s="1"/>
  <c r="R813" i="1" a="1"/>
  <c r="R813" i="1" s="1"/>
  <c r="R814" i="1" a="1"/>
  <c r="R814" i="1" s="1"/>
  <c r="R815" i="1" a="1"/>
  <c r="R815" i="1" s="1"/>
  <c r="R816" i="1" a="1"/>
  <c r="R816" i="1"/>
  <c r="R817" i="1" a="1"/>
  <c r="R817" i="1" s="1"/>
  <c r="R818" i="1" a="1"/>
  <c r="R818" i="1" s="1"/>
  <c r="R819" i="1" a="1"/>
  <c r="R819" i="1" s="1"/>
  <c r="R820" i="1" a="1"/>
  <c r="R820" i="1" s="1"/>
  <c r="R821" i="1" a="1"/>
  <c r="R821" i="1"/>
  <c r="R822" i="1" a="1"/>
  <c r="R822" i="1" s="1"/>
  <c r="R823" i="1" a="1"/>
  <c r="R823" i="1" s="1"/>
  <c r="R824" i="1" a="1"/>
  <c r="R824" i="1" s="1"/>
  <c r="R825" i="1" a="1"/>
  <c r="R825" i="1" s="1"/>
  <c r="R826" i="1" a="1"/>
  <c r="R826" i="1" s="1"/>
  <c r="R827" i="1" a="1"/>
  <c r="R827" i="1" s="1"/>
  <c r="R828" i="1" a="1"/>
  <c r="R828" i="1" s="1"/>
  <c r="R829" i="1" a="1"/>
  <c r="R829" i="1"/>
  <c r="R830" i="1" a="1"/>
  <c r="R830" i="1" s="1"/>
  <c r="R831" i="1" a="1"/>
  <c r="R831" i="1" s="1"/>
  <c r="R832" i="1" a="1"/>
  <c r="R832" i="1"/>
  <c r="R833" i="1" a="1"/>
  <c r="R833" i="1" s="1"/>
  <c r="R834" i="1" a="1"/>
  <c r="R834" i="1" s="1"/>
  <c r="R835" i="1" a="1"/>
  <c r="R835" i="1" s="1"/>
  <c r="R836" i="1" a="1"/>
  <c r="R836" i="1" s="1"/>
  <c r="R837" i="1" a="1"/>
  <c r="R837" i="1" s="1"/>
  <c r="R838" i="1" a="1"/>
  <c r="R838" i="1" s="1"/>
  <c r="R839" i="1" a="1"/>
  <c r="R839" i="1" s="1"/>
  <c r="R840" i="1" a="1"/>
  <c r="R840" i="1" s="1"/>
  <c r="R841" i="1" a="1"/>
  <c r="R841" i="1" s="1"/>
  <c r="R842" i="1" a="1"/>
  <c r="R842" i="1" s="1"/>
  <c r="R843" i="1" a="1"/>
  <c r="R843" i="1" s="1"/>
  <c r="R844" i="1" a="1"/>
  <c r="R844" i="1" s="1"/>
  <c r="R845" i="1" a="1"/>
  <c r="R845" i="1"/>
  <c r="R846" i="1" a="1"/>
  <c r="R846" i="1" s="1"/>
  <c r="R847" i="1" a="1"/>
  <c r="R847" i="1" s="1"/>
  <c r="R848" i="1" a="1"/>
  <c r="R848" i="1" s="1"/>
  <c r="R849" i="1" a="1"/>
  <c r="R849" i="1" s="1"/>
  <c r="R850" i="1" a="1"/>
  <c r="R850" i="1" s="1"/>
  <c r="R851" i="1" a="1"/>
  <c r="R851" i="1" s="1"/>
  <c r="R852" i="1" a="1"/>
  <c r="R852" i="1" s="1"/>
  <c r="R853" i="1" a="1"/>
  <c r="R853" i="1" s="1"/>
  <c r="R854" i="1" a="1"/>
  <c r="R854" i="1" s="1"/>
  <c r="R855" i="1" a="1"/>
  <c r="R855" i="1" s="1"/>
  <c r="R856" i="1" a="1"/>
  <c r="R856" i="1"/>
  <c r="R857" i="1" a="1"/>
  <c r="R857" i="1" s="1"/>
  <c r="R858" i="1" a="1"/>
  <c r="R858" i="1" s="1"/>
  <c r="R859" i="1" a="1"/>
  <c r="R859" i="1" s="1"/>
  <c r="R860" i="1" a="1"/>
  <c r="R860" i="1" s="1"/>
  <c r="R861" i="1" a="1"/>
  <c r="R861" i="1"/>
  <c r="R862" i="1" a="1"/>
  <c r="R862" i="1" s="1"/>
  <c r="R863" i="1" a="1"/>
  <c r="R863" i="1" s="1"/>
  <c r="R864" i="1" a="1"/>
  <c r="R864" i="1"/>
  <c r="R865" i="1" a="1"/>
  <c r="R865" i="1" s="1"/>
  <c r="R866" i="1" a="1"/>
  <c r="R866" i="1" s="1"/>
  <c r="R867" i="1" a="1"/>
  <c r="R867" i="1" s="1"/>
  <c r="R868" i="1" a="1"/>
  <c r="R868" i="1"/>
  <c r="R869" i="1" a="1"/>
  <c r="R869" i="1" s="1"/>
  <c r="R870" i="1" a="1"/>
  <c r="R870" i="1" s="1"/>
  <c r="R871" i="1" a="1"/>
  <c r="R871" i="1" s="1"/>
  <c r="R872" i="1" a="1"/>
  <c r="R872" i="1" s="1"/>
  <c r="R873" i="1" a="1"/>
  <c r="R873" i="1"/>
  <c r="R874" i="1" a="1"/>
  <c r="R874" i="1" s="1"/>
  <c r="R875" i="1" a="1"/>
  <c r="R875" i="1" s="1"/>
  <c r="R876" i="1" a="1"/>
  <c r="R876" i="1" s="1"/>
  <c r="R877" i="1" a="1"/>
  <c r="R877" i="1" s="1"/>
  <c r="R878" i="1" a="1"/>
  <c r="R878" i="1" s="1"/>
  <c r="R879" i="1" a="1"/>
  <c r="R879" i="1" s="1"/>
  <c r="R880" i="1" a="1"/>
  <c r="R880" i="1"/>
  <c r="R881" i="1" a="1"/>
  <c r="R881" i="1" s="1"/>
  <c r="R882" i="1" a="1"/>
  <c r="R882" i="1" s="1"/>
  <c r="R883" i="1" a="1"/>
  <c r="R883" i="1" s="1"/>
  <c r="R884" i="1" a="1"/>
  <c r="R884" i="1" s="1"/>
  <c r="R885" i="1" a="1"/>
  <c r="R885" i="1"/>
  <c r="R886" i="1" a="1"/>
  <c r="R886" i="1" s="1"/>
  <c r="R887" i="1" a="1"/>
  <c r="R887" i="1" s="1"/>
  <c r="R888" i="1" a="1"/>
  <c r="R888" i="1" s="1"/>
  <c r="R889" i="1" a="1"/>
  <c r="R889" i="1" s="1"/>
  <c r="R890" i="1" a="1"/>
  <c r="R890" i="1" s="1"/>
  <c r="R891" i="1" a="1"/>
  <c r="R891" i="1" s="1"/>
  <c r="R892" i="1" a="1"/>
  <c r="R892" i="1" s="1"/>
  <c r="R893" i="1" a="1"/>
  <c r="R893" i="1"/>
  <c r="R894" i="1" a="1"/>
  <c r="R894" i="1" s="1"/>
  <c r="R895" i="1" a="1"/>
  <c r="R895" i="1" s="1"/>
  <c r="R896" i="1" a="1"/>
  <c r="R896" i="1"/>
  <c r="R897" i="1" a="1"/>
  <c r="R897" i="1" s="1"/>
  <c r="R898" i="1" a="1"/>
  <c r="R898" i="1" s="1"/>
  <c r="R899" i="1" a="1"/>
  <c r="R899" i="1" s="1"/>
  <c r="R900" i="1" a="1"/>
  <c r="R900" i="1" s="1"/>
  <c r="R901" i="1" a="1"/>
  <c r="R901" i="1" s="1"/>
  <c r="R902" i="1" a="1"/>
  <c r="R902" i="1" s="1"/>
  <c r="R903" i="1" a="1"/>
  <c r="R903" i="1" s="1"/>
  <c r="R904" i="1" a="1"/>
  <c r="R904" i="1" s="1"/>
  <c r="R905" i="1" a="1"/>
  <c r="R905" i="1" s="1"/>
  <c r="R906" i="1" a="1"/>
  <c r="R906" i="1" s="1"/>
  <c r="R907" i="1" a="1"/>
  <c r="R907" i="1" s="1"/>
  <c r="R908" i="1" a="1"/>
  <c r="R908" i="1" s="1"/>
  <c r="R909" i="1" a="1"/>
  <c r="R909" i="1"/>
  <c r="R910" i="1" a="1"/>
  <c r="R910" i="1" s="1"/>
  <c r="R911" i="1" a="1"/>
  <c r="R911" i="1" s="1"/>
  <c r="R912" i="1" a="1"/>
  <c r="R912" i="1" s="1"/>
  <c r="R913" i="1" a="1"/>
  <c r="R913" i="1" s="1"/>
  <c r="R914" i="1" a="1"/>
  <c r="R914" i="1" s="1"/>
  <c r="R915" i="1" a="1"/>
  <c r="R915" i="1" s="1"/>
  <c r="R916" i="1" a="1"/>
  <c r="R916" i="1" s="1"/>
  <c r="R917" i="1" a="1"/>
  <c r="R917" i="1" s="1"/>
  <c r="R918" i="1" a="1"/>
  <c r="R918" i="1" s="1"/>
  <c r="R919" i="1" a="1"/>
  <c r="R919" i="1" s="1"/>
  <c r="R920" i="1" a="1"/>
  <c r="R920" i="1"/>
  <c r="R921" i="1" a="1"/>
  <c r="R921" i="1" s="1"/>
  <c r="R922" i="1" a="1"/>
  <c r="R922" i="1" s="1"/>
  <c r="R923" i="1" a="1"/>
  <c r="R923" i="1" s="1"/>
  <c r="R924" i="1" a="1"/>
  <c r="R924" i="1" s="1"/>
  <c r="R925" i="1" a="1"/>
  <c r="R925" i="1"/>
  <c r="R926" i="1" a="1"/>
  <c r="R926" i="1" s="1"/>
  <c r="R927" i="1" a="1"/>
  <c r="R927" i="1" s="1"/>
  <c r="R928" i="1" a="1"/>
  <c r="R928" i="1"/>
  <c r="R929" i="1" a="1"/>
  <c r="R929" i="1" s="1"/>
  <c r="R930" i="1" a="1"/>
  <c r="R930" i="1" s="1"/>
  <c r="R931" i="1" a="1"/>
  <c r="R931" i="1" s="1"/>
  <c r="R932" i="1" a="1"/>
  <c r="R932" i="1"/>
  <c r="R933" i="1" a="1"/>
  <c r="R933" i="1" s="1"/>
  <c r="R934" i="1" a="1"/>
  <c r="R934" i="1" s="1"/>
  <c r="R935" i="1" a="1"/>
  <c r="R935" i="1" s="1"/>
  <c r="R936" i="1" a="1"/>
  <c r="R936" i="1" s="1"/>
  <c r="R937" i="1" a="1"/>
  <c r="R937" i="1"/>
  <c r="R938" i="1" a="1"/>
  <c r="R938" i="1" s="1"/>
  <c r="R939" i="1" a="1"/>
  <c r="R939" i="1" s="1"/>
  <c r="R940" i="1" a="1"/>
  <c r="R940" i="1" s="1"/>
  <c r="R941" i="1" a="1"/>
  <c r="R941" i="1" s="1"/>
  <c r="R942" i="1" a="1"/>
  <c r="R942" i="1" s="1"/>
  <c r="R943" i="1" a="1"/>
  <c r="R943" i="1" s="1"/>
  <c r="R944" i="1" a="1"/>
  <c r="R944" i="1"/>
  <c r="R945" i="1" a="1"/>
  <c r="R945" i="1" s="1"/>
  <c r="R946" i="1" a="1"/>
  <c r="R946" i="1" s="1"/>
  <c r="R947" i="1" a="1"/>
  <c r="R947" i="1" s="1"/>
  <c r="R948" i="1" a="1"/>
  <c r="R948" i="1" s="1"/>
  <c r="R949" i="1" a="1"/>
  <c r="R949" i="1"/>
  <c r="R950" i="1" a="1"/>
  <c r="R950" i="1" s="1"/>
  <c r="R951" i="1" a="1"/>
  <c r="R951" i="1" s="1"/>
  <c r="R952" i="1" a="1"/>
  <c r="R952" i="1" s="1"/>
  <c r="R953" i="1" a="1"/>
  <c r="R953" i="1" s="1"/>
  <c r="R954" i="1" a="1"/>
  <c r="R954" i="1" s="1"/>
  <c r="R955" i="1" a="1"/>
  <c r="R955" i="1" s="1"/>
  <c r="R956" i="1" a="1"/>
  <c r="R956" i="1" s="1"/>
  <c r="R957" i="1" a="1"/>
  <c r="R957" i="1"/>
  <c r="R958" i="1" a="1"/>
  <c r="R958" i="1" s="1"/>
  <c r="R959" i="1" a="1"/>
  <c r="R959" i="1" s="1"/>
  <c r="R960" i="1" a="1"/>
  <c r="R960" i="1"/>
  <c r="R961" i="1" a="1"/>
  <c r="R961" i="1" s="1"/>
  <c r="R962" i="1" a="1"/>
  <c r="R962" i="1" s="1"/>
  <c r="R963" i="1" a="1"/>
  <c r="R963" i="1" s="1"/>
  <c r="R964" i="1" a="1"/>
  <c r="R964" i="1" s="1"/>
  <c r="R965" i="1" a="1"/>
  <c r="R965" i="1" s="1"/>
  <c r="R966" i="1" a="1"/>
  <c r="R966" i="1" s="1"/>
  <c r="R967" i="1" a="1"/>
  <c r="R967" i="1" s="1"/>
  <c r="R968" i="1" a="1"/>
  <c r="R968" i="1" s="1"/>
  <c r="R969" i="1" a="1"/>
  <c r="R969" i="1" s="1"/>
  <c r="R970" i="1" a="1"/>
  <c r="R970" i="1" s="1"/>
  <c r="R971" i="1" a="1"/>
  <c r="R971" i="1" s="1"/>
  <c r="R972" i="1" a="1"/>
  <c r="R972" i="1" s="1"/>
  <c r="R973" i="1" a="1"/>
  <c r="R973" i="1"/>
  <c r="R974" i="1" a="1"/>
  <c r="R974" i="1" s="1"/>
  <c r="R975" i="1" a="1"/>
  <c r="R975" i="1" s="1"/>
  <c r="R976" i="1" a="1"/>
  <c r="R976" i="1" s="1"/>
  <c r="R977" i="1" a="1"/>
  <c r="R977" i="1" s="1"/>
  <c r="R978" i="1" a="1"/>
  <c r="R978" i="1" s="1"/>
  <c r="R979" i="1" a="1"/>
  <c r="R979" i="1" s="1"/>
  <c r="R980" i="1" a="1"/>
  <c r="R980" i="1" s="1"/>
  <c r="R981" i="1" a="1"/>
  <c r="R981" i="1" s="1"/>
  <c r="R982" i="1" a="1"/>
  <c r="R982" i="1" s="1"/>
  <c r="R983" i="1" a="1"/>
  <c r="R983" i="1" s="1"/>
  <c r="R984" i="1" a="1"/>
  <c r="R984" i="1"/>
  <c r="R985" i="1" a="1"/>
  <c r="R985" i="1" s="1"/>
  <c r="R986" i="1" a="1"/>
  <c r="R986" i="1" s="1"/>
  <c r="R987" i="1" a="1"/>
  <c r="R987" i="1" s="1"/>
  <c r="R988" i="1" a="1"/>
  <c r="R988" i="1" s="1"/>
  <c r="R989" i="1" a="1"/>
  <c r="R989" i="1"/>
  <c r="R990" i="1" a="1"/>
  <c r="R990" i="1" s="1"/>
  <c r="R991" i="1" a="1"/>
  <c r="R991" i="1" s="1"/>
  <c r="R992" i="1" a="1"/>
  <c r="R992" i="1"/>
  <c r="R993" i="1" a="1"/>
  <c r="R993" i="1" s="1"/>
  <c r="R994" i="1" a="1"/>
  <c r="R994" i="1" s="1"/>
  <c r="R995" i="1" a="1"/>
  <c r="R995" i="1" s="1"/>
  <c r="R996" i="1" a="1"/>
  <c r="R996" i="1"/>
  <c r="R997" i="1" a="1"/>
  <c r="R997" i="1" s="1"/>
  <c r="R998" i="1" a="1"/>
  <c r="R998" i="1" s="1"/>
  <c r="R999" i="1" a="1"/>
  <c r="R999" i="1" s="1"/>
  <c r="R1000" i="1" a="1"/>
  <c r="R1000" i="1" s="1"/>
  <c r="R1001" i="1" a="1"/>
  <c r="R1001" i="1"/>
  <c r="R2" i="1" a="1"/>
  <c r="R2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2" i="1"/>
  <c r="T7" i="1"/>
  <c r="T6" i="1"/>
  <c r="T5" i="1"/>
  <c r="T4" i="1"/>
  <c r="T3" i="1"/>
  <c r="C4" i="2"/>
  <c r="D4" i="2" s="1"/>
  <c r="B3" i="2"/>
  <c r="C3" i="2" s="1"/>
  <c r="D3" i="2" s="1"/>
  <c r="B4" i="2"/>
  <c r="B5" i="2"/>
  <c r="C5" i="2" s="1"/>
  <c r="D5" i="2" s="1"/>
  <c r="B6" i="2"/>
  <c r="C6" i="2" s="1"/>
  <c r="D6" i="2" s="1"/>
  <c r="B7" i="2"/>
  <c r="C7" i="2" s="1"/>
  <c r="D7" i="2" s="1"/>
  <c r="B8" i="2"/>
  <c r="C8" i="2" s="1"/>
  <c r="D8" i="2" s="1"/>
  <c r="B2" i="2"/>
  <c r="C2" i="2" s="1"/>
  <c r="D2" i="2" s="1"/>
  <c r="T9" i="1" l="1"/>
  <c r="T13" i="1"/>
  <c r="T8" i="1"/>
  <c r="T10" i="1"/>
  <c r="T11" i="1"/>
  <c r="T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<sst xmlns="http://schemas.openxmlformats.org/spreadsheetml/2006/main" count="8111" uniqueCount="1904">
  <si>
    <t>Order_ID</t>
  </si>
  <si>
    <t>Order_Date</t>
  </si>
  <si>
    <t>Customer_ID</t>
  </si>
  <si>
    <t>Customer_Name</t>
  </si>
  <si>
    <t>City</t>
  </si>
  <si>
    <t>Category</t>
  </si>
  <si>
    <t>Product_Name</t>
  </si>
  <si>
    <t>Quantity</t>
  </si>
  <si>
    <t>Unit_Price</t>
  </si>
  <si>
    <t>Discount_Pct</t>
  </si>
  <si>
    <t>Discount_Amt</t>
  </si>
  <si>
    <t>Net_Sales</t>
  </si>
  <si>
    <t>Profit</t>
  </si>
  <si>
    <t>Payment_Mode</t>
  </si>
  <si>
    <t>Delivery_Status</t>
  </si>
  <si>
    <t>ORD0001</t>
  </si>
  <si>
    <t>CUST1377</t>
  </si>
  <si>
    <t>Diya Mishra</t>
  </si>
  <si>
    <t>Mumbai</t>
  </si>
  <si>
    <t>Electronics</t>
  </si>
  <si>
    <t>Smartphone</t>
  </si>
  <si>
    <t>Net Banking</t>
  </si>
  <si>
    <t>Returned</t>
  </si>
  <si>
    <t>ORD0002</t>
  </si>
  <si>
    <t>CUST1013</t>
  </si>
  <si>
    <t>Deepa Iyer</t>
  </si>
  <si>
    <t>Kolkata</t>
  </si>
  <si>
    <t>Credit Card</t>
  </si>
  <si>
    <t>ORD0003</t>
  </si>
  <si>
    <t>CUST1174</t>
  </si>
  <si>
    <t>Rahul Reddy</t>
  </si>
  <si>
    <t>Chennai</t>
  </si>
  <si>
    <t>Groceries</t>
  </si>
  <si>
    <t>Coffee</t>
  </si>
  <si>
    <t>Debit Card</t>
  </si>
  <si>
    <t>Delivered</t>
  </si>
  <si>
    <t>ORD0004</t>
  </si>
  <si>
    <t>CUST1413</t>
  </si>
  <si>
    <t>Vivaan Das</t>
  </si>
  <si>
    <t>Furniture</t>
  </si>
  <si>
    <t>Office Chair</t>
  </si>
  <si>
    <t>Cash on Delivery</t>
  </si>
  <si>
    <t>ORD0005</t>
  </si>
  <si>
    <t>CUST1360</t>
  </si>
  <si>
    <t>Ananya Verma</t>
  </si>
  <si>
    <t>ORD0006</t>
  </si>
  <si>
    <t>CUST1427</t>
  </si>
  <si>
    <t>Pooja Nair</t>
  </si>
  <si>
    <t>Pune</t>
  </si>
  <si>
    <t>Books</t>
  </si>
  <si>
    <t>Python Basics</t>
  </si>
  <si>
    <t>ORD0007</t>
  </si>
  <si>
    <t>CUST1273</t>
  </si>
  <si>
    <t>Sneha Nair</t>
  </si>
  <si>
    <t>Ahmedabad</t>
  </si>
  <si>
    <t>Tea Powder</t>
  </si>
  <si>
    <t>ORD0008</t>
  </si>
  <si>
    <t>CUST1393</t>
  </si>
  <si>
    <t>Vivaan Singh</t>
  </si>
  <si>
    <t>Bangalore</t>
  </si>
  <si>
    <t>Beauty</t>
  </si>
  <si>
    <t>Foundation</t>
  </si>
  <si>
    <t>ORD0009</t>
  </si>
  <si>
    <t>CUST1335</t>
  </si>
  <si>
    <t>Kavita Mehta</t>
  </si>
  <si>
    <t>Laptop</t>
  </si>
  <si>
    <t>ORD0010</t>
  </si>
  <si>
    <t>CUST1299</t>
  </si>
  <si>
    <t>Nisha Agarwal</t>
  </si>
  <si>
    <t>Clothing</t>
  </si>
  <si>
    <t>Shoes</t>
  </si>
  <si>
    <t>ORD0011</t>
  </si>
  <si>
    <t>CUST1078</t>
  </si>
  <si>
    <t>Priya Pillai</t>
  </si>
  <si>
    <t>Sports</t>
  </si>
  <si>
    <t>Dumbbells</t>
  </si>
  <si>
    <t>ORD0012</t>
  </si>
  <si>
    <t>CUST1005</t>
  </si>
  <si>
    <t>Hyderabad</t>
  </si>
  <si>
    <t>Sofa</t>
  </si>
  <si>
    <t>ORD0013</t>
  </si>
  <si>
    <t>CUST1448</t>
  </si>
  <si>
    <t>Rahul Tiwari</t>
  </si>
  <si>
    <t>Delhi</t>
  </si>
  <si>
    <t>Study Table</t>
  </si>
  <si>
    <t>ORD0014</t>
  </si>
  <si>
    <t>CUST1191</t>
  </si>
  <si>
    <t>Priya Mishra</t>
  </si>
  <si>
    <t>ORD0015</t>
  </si>
  <si>
    <t>CUST1123</t>
  </si>
  <si>
    <t>Manish Patel</t>
  </si>
  <si>
    <t>ORD0016</t>
  </si>
  <si>
    <t>CUST1281</t>
  </si>
  <si>
    <t>Priya Kumar</t>
  </si>
  <si>
    <t>Excel Mastery</t>
  </si>
  <si>
    <t>Cancelled</t>
  </si>
  <si>
    <t>ORD0017</t>
  </si>
  <si>
    <t>CUST1332</t>
  </si>
  <si>
    <t>Pooja Das</t>
  </si>
  <si>
    <t>UPI</t>
  </si>
  <si>
    <t>ORD0018</t>
  </si>
  <si>
    <t>CUST1301</t>
  </si>
  <si>
    <t>Sneha Sharma</t>
  </si>
  <si>
    <t>Earbuds</t>
  </si>
  <si>
    <t>ORD0019</t>
  </si>
  <si>
    <t>CUST1142</t>
  </si>
  <si>
    <t>Kavita Iyer</t>
  </si>
  <si>
    <t>Speaker</t>
  </si>
  <si>
    <t>ORD0020</t>
  </si>
  <si>
    <t>CUST1049</t>
  </si>
  <si>
    <t>Nisha Shah</t>
  </si>
  <si>
    <t>Sneakers</t>
  </si>
  <si>
    <t>ORD0021</t>
  </si>
  <si>
    <t>CUST1173</t>
  </si>
  <si>
    <t>Diya Singh</t>
  </si>
  <si>
    <t>Perfume</t>
  </si>
  <si>
    <t>ORD0022</t>
  </si>
  <si>
    <t>CUST1447</t>
  </si>
  <si>
    <t>Ananya Das</t>
  </si>
  <si>
    <t>Saree</t>
  </si>
  <si>
    <t>ORD0023</t>
  </si>
  <si>
    <t>CUST1246</t>
  </si>
  <si>
    <t>Kiran Mehta</t>
  </si>
  <si>
    <t>ORD0024</t>
  </si>
  <si>
    <t>CUST1490</t>
  </si>
  <si>
    <t>Deepa Bhat</t>
  </si>
  <si>
    <t>Bookshelf</t>
  </si>
  <si>
    <t>ORD0025</t>
  </si>
  <si>
    <t>CUST1029</t>
  </si>
  <si>
    <t>Vivaan Agarwal</t>
  </si>
  <si>
    <t>Tablet</t>
  </si>
  <si>
    <t>ORD0026</t>
  </si>
  <si>
    <t>CUST1034</t>
  </si>
  <si>
    <t>Sneha Mehta</t>
  </si>
  <si>
    <t>ORD0027</t>
  </si>
  <si>
    <t>CUST1298</t>
  </si>
  <si>
    <t>Manish Tiwari</t>
  </si>
  <si>
    <t>Cricket Bat</t>
  </si>
  <si>
    <t>ORD0028</t>
  </si>
  <si>
    <t>CUST1343</t>
  </si>
  <si>
    <t>Meera Das</t>
  </si>
  <si>
    <t>Sunscreen</t>
  </si>
  <si>
    <t>ORD0029</t>
  </si>
  <si>
    <t>CUST1259</t>
  </si>
  <si>
    <t>Badminton Set</t>
  </si>
  <si>
    <t>ORD0030</t>
  </si>
  <si>
    <t>CUST1313</t>
  </si>
  <si>
    <t>Suresh Sharma</t>
  </si>
  <si>
    <t>Dal (1kg)</t>
  </si>
  <si>
    <t>ORD0031</t>
  </si>
  <si>
    <t>CUST1309</t>
  </si>
  <si>
    <t>Kiran Joshi</t>
  </si>
  <si>
    <t>ORD0032</t>
  </si>
  <si>
    <t>CUST1424</t>
  </si>
  <si>
    <t>Rahul Verma</t>
  </si>
  <si>
    <t>ORD0033</t>
  </si>
  <si>
    <t>CUST1287</t>
  </si>
  <si>
    <t>Aarav Gupta</t>
  </si>
  <si>
    <t>ORD0034</t>
  </si>
  <si>
    <t>CUST1065</t>
  </si>
  <si>
    <t>Vivaan Rao</t>
  </si>
  <si>
    <t>Data Science 101</t>
  </si>
  <si>
    <t>ORD0035</t>
  </si>
  <si>
    <t>CUST1452</t>
  </si>
  <si>
    <t>Nisha Khanna</t>
  </si>
  <si>
    <t>Shampoo</t>
  </si>
  <si>
    <t>ORD0036</t>
  </si>
  <si>
    <t>CUST1400</t>
  </si>
  <si>
    <t>Nisha Singh</t>
  </si>
  <si>
    <t>ORD0037</t>
  </si>
  <si>
    <t>CUST1470</t>
  </si>
  <si>
    <t>Arun Shah</t>
  </si>
  <si>
    <t>ORD0038</t>
  </si>
  <si>
    <t>CUST1035</t>
  </si>
  <si>
    <t>Rahul Shah</t>
  </si>
  <si>
    <t>ORD0039</t>
  </si>
  <si>
    <t>CUST1135</t>
  </si>
  <si>
    <t>Vivaan Gupta</t>
  </si>
  <si>
    <t>ORD0040</t>
  </si>
  <si>
    <t>CUST1097</t>
  </si>
  <si>
    <t>ORD0041</t>
  </si>
  <si>
    <t>CUST1485</t>
  </si>
  <si>
    <t>Arjun Khanna</t>
  </si>
  <si>
    <t>ORD0042</t>
  </si>
  <si>
    <t>CUST1151</t>
  </si>
  <si>
    <t>Deepa Reddy</t>
  </si>
  <si>
    <t>ORD0043</t>
  </si>
  <si>
    <t>CUST1280</t>
  </si>
  <si>
    <t>Aarav Rao</t>
  </si>
  <si>
    <t>ORD0044</t>
  </si>
  <si>
    <t>CUST1345</t>
  </si>
  <si>
    <t>Kiran Tiwari</t>
  </si>
  <si>
    <t>Cycle</t>
  </si>
  <si>
    <t>ORD0045</t>
  </si>
  <si>
    <t>CUST1487</t>
  </si>
  <si>
    <t>Sneha Rao</t>
  </si>
  <si>
    <t>ORD0046</t>
  </si>
  <si>
    <t>CUST1037</t>
  </si>
  <si>
    <t>Arun Pillai</t>
  </si>
  <si>
    <t>ORD0047</t>
  </si>
  <si>
    <t>CUST1112</t>
  </si>
  <si>
    <t>Priya Tiwari</t>
  </si>
  <si>
    <t>Jeans</t>
  </si>
  <si>
    <t>ORD0048</t>
  </si>
  <si>
    <t>CUST1341</t>
  </si>
  <si>
    <t>Suresh Mishra</t>
  </si>
  <si>
    <t>ORD0049</t>
  </si>
  <si>
    <t>CUST1380</t>
  </si>
  <si>
    <t>Kavita Das</t>
  </si>
  <si>
    <t>Side Table</t>
  </si>
  <si>
    <t>ORD0050</t>
  </si>
  <si>
    <t>CUST1365</t>
  </si>
  <si>
    <t>Meera Singh</t>
  </si>
  <si>
    <t>Bed Frame</t>
  </si>
  <si>
    <t>ORD0051</t>
  </si>
  <si>
    <t>Kiran Patel</t>
  </si>
  <si>
    <t>ORD0052</t>
  </si>
  <si>
    <t>CUST1199</t>
  </si>
  <si>
    <t>Manish Sharma</t>
  </si>
  <si>
    <t>Wardrobe</t>
  </si>
  <si>
    <t>ORD0053</t>
  </si>
  <si>
    <t>CUST1376</t>
  </si>
  <si>
    <t>Deepa Khanna</t>
  </si>
  <si>
    <t>ORD0054</t>
  </si>
  <si>
    <t>CUST1347</t>
  </si>
  <si>
    <t>Vijay Nair</t>
  </si>
  <si>
    <t>ORD0055</t>
  </si>
  <si>
    <t>CUST1042</t>
  </si>
  <si>
    <t>Nisha Reddy</t>
  </si>
  <si>
    <t>Smartwatch</t>
  </si>
  <si>
    <t>ORD0056</t>
  </si>
  <si>
    <t>CUST1389</t>
  </si>
  <si>
    <t>Vijay Kumar</t>
  </si>
  <si>
    <t>ORD0057</t>
  </si>
  <si>
    <t>CUST1179</t>
  </si>
  <si>
    <t>Sneha Patel</t>
  </si>
  <si>
    <t>Charger</t>
  </si>
  <si>
    <t>ORD0058</t>
  </si>
  <si>
    <t>CUST1242</t>
  </si>
  <si>
    <t>Diya Agarwal</t>
  </si>
  <si>
    <t>ORD0059</t>
  </si>
  <si>
    <t>CUST1398</t>
  </si>
  <si>
    <t>Priya Rao</t>
  </si>
  <si>
    <t>Jacket</t>
  </si>
  <si>
    <t>ORD0060</t>
  </si>
  <si>
    <t>CUST1101</t>
  </si>
  <si>
    <t>Ananya Agarwal</t>
  </si>
  <si>
    <t>ORD0061</t>
  </si>
  <si>
    <t>CUST1177</t>
  </si>
  <si>
    <t>Deepa Pillai</t>
  </si>
  <si>
    <t>Running Shoes</t>
  </si>
  <si>
    <t>ORD0062</t>
  </si>
  <si>
    <t>CUST1491</t>
  </si>
  <si>
    <t>Rice (5kg)</t>
  </si>
  <si>
    <t>ORD0063</t>
  </si>
  <si>
    <t>CUST1238</t>
  </si>
  <si>
    <t>ORD0064</t>
  </si>
  <si>
    <t>CUST1342</t>
  </si>
  <si>
    <t>Vijay Joshi</t>
  </si>
  <si>
    <t>Atta (10kg)</t>
  </si>
  <si>
    <t>ORD0065</t>
  </si>
  <si>
    <t>CUST1450</t>
  </si>
  <si>
    <t>Anjali Kumar</t>
  </si>
  <si>
    <t>ORD0066</t>
  </si>
  <si>
    <t>Kavita Bhat</t>
  </si>
  <si>
    <t>ORD0067</t>
  </si>
  <si>
    <t>CUST1188</t>
  </si>
  <si>
    <t>Kavita Mishra</t>
  </si>
  <si>
    <t>ORD0068</t>
  </si>
  <si>
    <t>CUST1118</t>
  </si>
  <si>
    <t>Diya Iyer</t>
  </si>
  <si>
    <t>ORD0069</t>
  </si>
  <si>
    <t>CUST1370</t>
  </si>
  <si>
    <t>ORD0070</t>
  </si>
  <si>
    <t>Rohan Kumar</t>
  </si>
  <si>
    <t>Kurta</t>
  </si>
  <si>
    <t>ORD0071</t>
  </si>
  <si>
    <t>CUST1293</t>
  </si>
  <si>
    <t>Meera Bhat</t>
  </si>
  <si>
    <t>ORD0072</t>
  </si>
  <si>
    <t>CUST1205</t>
  </si>
  <si>
    <t>Kavita Patel</t>
  </si>
  <si>
    <t>ORD0073</t>
  </si>
  <si>
    <t>CUST1213</t>
  </si>
  <si>
    <t>Anjali Khanna</t>
  </si>
  <si>
    <t>ORD0074</t>
  </si>
  <si>
    <t>CUST1317</t>
  </si>
  <si>
    <t>Vivaan Khanna</t>
  </si>
  <si>
    <t>ORD0075</t>
  </si>
  <si>
    <t>CUST1038</t>
  </si>
  <si>
    <t>Priya Sharma</t>
  </si>
  <si>
    <t>Moisturizer</t>
  </si>
  <si>
    <t>ORD0076</t>
  </si>
  <si>
    <t>CUST1359</t>
  </si>
  <si>
    <t>Arun Patel</t>
  </si>
  <si>
    <t>ORD0077</t>
  </si>
  <si>
    <t>CUST1331</t>
  </si>
  <si>
    <t>ORD0078</t>
  </si>
  <si>
    <t>CUST1471</t>
  </si>
  <si>
    <t>ORD0079</t>
  </si>
  <si>
    <t>CUST1041</t>
  </si>
  <si>
    <t>Anjali Verma</t>
  </si>
  <si>
    <t>ORD0080</t>
  </si>
  <si>
    <t>CUST1294</t>
  </si>
  <si>
    <t>ORD0081</t>
  </si>
  <si>
    <t>Nisha Bhat</t>
  </si>
  <si>
    <t>ORD0082</t>
  </si>
  <si>
    <t>CUST1355</t>
  </si>
  <si>
    <t>Kavita Rao</t>
  </si>
  <si>
    <t>Oil (1L)</t>
  </si>
  <si>
    <t>ORD0083</t>
  </si>
  <si>
    <t>CUST1395</t>
  </si>
  <si>
    <t>Vijay Tiwari</t>
  </si>
  <si>
    <t>ORD0084</t>
  </si>
  <si>
    <t>CUST1255</t>
  </si>
  <si>
    <t>Arun Verma</t>
  </si>
  <si>
    <t>ORD0085</t>
  </si>
  <si>
    <t>CUST1322</t>
  </si>
  <si>
    <t>Anjali Singh</t>
  </si>
  <si>
    <t>ORD0086</t>
  </si>
  <si>
    <t>CUST1467</t>
  </si>
  <si>
    <t>Diya Das</t>
  </si>
  <si>
    <t>ORD0087</t>
  </si>
  <si>
    <t>CUST1241</t>
  </si>
  <si>
    <t>Sneha Das</t>
  </si>
  <si>
    <t>ORD0088</t>
  </si>
  <si>
    <t>CUST1404</t>
  </si>
  <si>
    <t>Nisha Joshi</t>
  </si>
  <si>
    <t>ORD0089</t>
  </si>
  <si>
    <t>CUST1076</t>
  </si>
  <si>
    <t>Arun Mishra</t>
  </si>
  <si>
    <t>Business Analytics</t>
  </si>
  <si>
    <t>ORD0090</t>
  </si>
  <si>
    <t>CUST1445</t>
  </si>
  <si>
    <t>Kiran Singh</t>
  </si>
  <si>
    <t>ORD0091</t>
  </si>
  <si>
    <t>CUST1195</t>
  </si>
  <si>
    <t>Vijay Reddy</t>
  </si>
  <si>
    <t>ORD0092</t>
  </si>
  <si>
    <t>CUST1466</t>
  </si>
  <si>
    <t>Arun Sharma</t>
  </si>
  <si>
    <t>Yoga Mat</t>
  </si>
  <si>
    <t>ORD0093</t>
  </si>
  <si>
    <t>CUST1203</t>
  </si>
  <si>
    <t>Ananya Joshi</t>
  </si>
  <si>
    <t>ORD0094</t>
  </si>
  <si>
    <t>ORD0095</t>
  </si>
  <si>
    <t>CUST1153</t>
  </si>
  <si>
    <t>Aarav Verma</t>
  </si>
  <si>
    <t>Face Wash</t>
  </si>
  <si>
    <t>ORD0096</t>
  </si>
  <si>
    <t>CUST1289</t>
  </si>
  <si>
    <t>Priya Nair</t>
  </si>
  <si>
    <t>ORD0097</t>
  </si>
  <si>
    <t>CUST1073</t>
  </si>
  <si>
    <t>ORD0098</t>
  </si>
  <si>
    <t>CUST1080</t>
  </si>
  <si>
    <t>ORD0099</t>
  </si>
  <si>
    <t>Vijay Bhat</t>
  </si>
  <si>
    <t>ORD0100</t>
  </si>
  <si>
    <t>CUST1500</t>
  </si>
  <si>
    <t>Sugar (2kg)</t>
  </si>
  <si>
    <t>ORD0101</t>
  </si>
  <si>
    <t>CUST1180</t>
  </si>
  <si>
    <t>Sneha Iyer</t>
  </si>
  <si>
    <t>Lipstick</t>
  </si>
  <si>
    <t>ORD0102</t>
  </si>
  <si>
    <t>CUST1186</t>
  </si>
  <si>
    <t>Rohan Patel</t>
  </si>
  <si>
    <t>ORD0103</t>
  </si>
  <si>
    <t>Rahul Nair</t>
  </si>
  <si>
    <t>ORD0104</t>
  </si>
  <si>
    <t>CUST1494</t>
  </si>
  <si>
    <t>ORD0105</t>
  </si>
  <si>
    <t>CUST1383</t>
  </si>
  <si>
    <t>Rahul Agarwal</t>
  </si>
  <si>
    <t>ORD0106</t>
  </si>
  <si>
    <t>ORD0107</t>
  </si>
  <si>
    <t>CUST1484</t>
  </si>
  <si>
    <t>ORD0108</t>
  </si>
  <si>
    <t>CUST1486</t>
  </si>
  <si>
    <t>Football</t>
  </si>
  <si>
    <t>ORD0109</t>
  </si>
  <si>
    <t>CUST1111</t>
  </si>
  <si>
    <t>Arun Das</t>
  </si>
  <si>
    <t>ORD0110</t>
  </si>
  <si>
    <t>ORD0111</t>
  </si>
  <si>
    <t>CUST1402</t>
  </si>
  <si>
    <t>Manish Iyer</t>
  </si>
  <si>
    <t>ORD0112</t>
  </si>
  <si>
    <t>CUST1403</t>
  </si>
  <si>
    <t>Anjali Sharma</t>
  </si>
  <si>
    <t>ORD0113</t>
  </si>
  <si>
    <t>Rohan Sharma</t>
  </si>
  <si>
    <t>ORD0114</t>
  </si>
  <si>
    <t>CUST1215</t>
  </si>
  <si>
    <t>Suresh Gupta</t>
  </si>
  <si>
    <t>ORD0115</t>
  </si>
  <si>
    <t>ORD0116</t>
  </si>
  <si>
    <t>CUST1251</t>
  </si>
  <si>
    <t>ORD0117</t>
  </si>
  <si>
    <t>Arjun Mehta</t>
  </si>
  <si>
    <t>ORD0118</t>
  </si>
  <si>
    <t>ORD0119</t>
  </si>
  <si>
    <t>CUST1048</t>
  </si>
  <si>
    <t>Arjun Pillai</t>
  </si>
  <si>
    <t>ORD0120</t>
  </si>
  <si>
    <t>CUST1047</t>
  </si>
  <si>
    <t>Nisha Gupta</t>
  </si>
  <si>
    <t>ORD0121</t>
  </si>
  <si>
    <t>CUST1210</t>
  </si>
  <si>
    <t>Pooja Pillai</t>
  </si>
  <si>
    <t>ORD0122</t>
  </si>
  <si>
    <t>CUST1336</t>
  </si>
  <si>
    <t>Kavita Singh</t>
  </si>
  <si>
    <t>ORD0123</t>
  </si>
  <si>
    <t>CUST1219</t>
  </si>
  <si>
    <t>ORD0124</t>
  </si>
  <si>
    <t>CUST1092</t>
  </si>
  <si>
    <t>Rohan Agarwal</t>
  </si>
  <si>
    <t>ORD0125</t>
  </si>
  <si>
    <t>CUST1232</t>
  </si>
  <si>
    <t>Arjun Nair</t>
  </si>
  <si>
    <t>ORD0126</t>
  </si>
  <si>
    <t>CUST1316</t>
  </si>
  <si>
    <t>Vivaan Patel</t>
  </si>
  <si>
    <t>ORD0127</t>
  </si>
  <si>
    <t>CUST1262</t>
  </si>
  <si>
    <t>Diya Shah</t>
  </si>
  <si>
    <t>ORD0128</t>
  </si>
  <si>
    <t>CUST1023</t>
  </si>
  <si>
    <t>ORD0129</t>
  </si>
  <si>
    <t>CUST1061</t>
  </si>
  <si>
    <t>Aarav Bhat</t>
  </si>
  <si>
    <t>ORD0130</t>
  </si>
  <si>
    <t>Pooja Patel</t>
  </si>
  <si>
    <t>ORD0131</t>
  </si>
  <si>
    <t>CUST1207</t>
  </si>
  <si>
    <t>Nisha Rao</t>
  </si>
  <si>
    <t>ORD0132</t>
  </si>
  <si>
    <t>ORD0133</t>
  </si>
  <si>
    <t>CUST1158</t>
  </si>
  <si>
    <t>Arjun Singh</t>
  </si>
  <si>
    <t>ORD0134</t>
  </si>
  <si>
    <t>CUST1397</t>
  </si>
  <si>
    <t>Pooja Shah</t>
  </si>
  <si>
    <t>ORD0135</t>
  </si>
  <si>
    <t>CUST1388</t>
  </si>
  <si>
    <t>Ananya Nair</t>
  </si>
  <si>
    <t>ORD0136</t>
  </si>
  <si>
    <t>CUST1319</t>
  </si>
  <si>
    <t>Arjun Joshi</t>
  </si>
  <si>
    <t>ORD0137</t>
  </si>
  <si>
    <t>Suresh Patel</t>
  </si>
  <si>
    <t>ORD0138</t>
  </si>
  <si>
    <t>Ananya Khanna</t>
  </si>
  <si>
    <t>ORD0139</t>
  </si>
  <si>
    <t>CUST1292</t>
  </si>
  <si>
    <t>Finance Book</t>
  </si>
  <si>
    <t>ORD0140</t>
  </si>
  <si>
    <t>CUST1330</t>
  </si>
  <si>
    <t>Priya Verma</t>
  </si>
  <si>
    <t>ORD0141</t>
  </si>
  <si>
    <t>CUST1144</t>
  </si>
  <si>
    <t>Vijay Pillai</t>
  </si>
  <si>
    <t>ORD0142</t>
  </si>
  <si>
    <t>Vijay Rao</t>
  </si>
  <si>
    <t>ORD0143</t>
  </si>
  <si>
    <t>ORD0144</t>
  </si>
  <si>
    <t>ORD0145</t>
  </si>
  <si>
    <t>CUST1392</t>
  </si>
  <si>
    <t>ORD0146</t>
  </si>
  <si>
    <t>Suresh Verma</t>
  </si>
  <si>
    <t>ORD0147</t>
  </si>
  <si>
    <t>CUST1394</t>
  </si>
  <si>
    <t>Anjali Nair</t>
  </si>
  <si>
    <t>ORD0148</t>
  </si>
  <si>
    <t>CUST1385</t>
  </si>
  <si>
    <t>Arun Singh</t>
  </si>
  <si>
    <t>ORD0149</t>
  </si>
  <si>
    <t>ORD0150</t>
  </si>
  <si>
    <t>Pooja Mishra</t>
  </si>
  <si>
    <t>ORD0151</t>
  </si>
  <si>
    <t>Rohan Pillai</t>
  </si>
  <si>
    <t>ORD0152</t>
  </si>
  <si>
    <t>CUST1120</t>
  </si>
  <si>
    <t>Vijay Patel</t>
  </si>
  <si>
    <t>ORD0153</t>
  </si>
  <si>
    <t>CUST1146</t>
  </si>
  <si>
    <t>Kavita Reddy</t>
  </si>
  <si>
    <t>ORD0154</t>
  </si>
  <si>
    <t>Anjali Tiwari</t>
  </si>
  <si>
    <t>ORD0155</t>
  </si>
  <si>
    <t>CUST1406</t>
  </si>
  <si>
    <t>Anjali Das</t>
  </si>
  <si>
    <t>ORD0156</t>
  </si>
  <si>
    <t>Meera Pillai</t>
  </si>
  <si>
    <t>ORD0157</t>
  </si>
  <si>
    <t>CUST1268</t>
  </si>
  <si>
    <t>ORD0158</t>
  </si>
  <si>
    <t>CUST1182</t>
  </si>
  <si>
    <t>Ananya Shah</t>
  </si>
  <si>
    <t>ORD0159</t>
  </si>
  <si>
    <t>CUST1329</t>
  </si>
  <si>
    <t>Priya Das</t>
  </si>
  <si>
    <t>T-Shirt</t>
  </si>
  <si>
    <t>ORD0160</t>
  </si>
  <si>
    <t>CUST1022</t>
  </si>
  <si>
    <t>Kiran Verma</t>
  </si>
  <si>
    <t>ORD0161</t>
  </si>
  <si>
    <t>Kiran Rao</t>
  </si>
  <si>
    <t>ORD0162</t>
  </si>
  <si>
    <t>Arun Mehta</t>
  </si>
  <si>
    <t>ORD0163</t>
  </si>
  <si>
    <t>CUST1372</t>
  </si>
  <si>
    <t>Nisha Patel</t>
  </si>
  <si>
    <t>ORD0164</t>
  </si>
  <si>
    <t>ORD0165</t>
  </si>
  <si>
    <t>CUST1140</t>
  </si>
  <si>
    <t>ORD0166</t>
  </si>
  <si>
    <t>CUST1224</t>
  </si>
  <si>
    <t>Vivaan Reddy</t>
  </si>
  <si>
    <t>ORD0167</t>
  </si>
  <si>
    <t>CUST1230</t>
  </si>
  <si>
    <t>ORD0168</t>
  </si>
  <si>
    <t>CUST1127</t>
  </si>
  <si>
    <t>Diya Sharma</t>
  </si>
  <si>
    <t>ORD0169</t>
  </si>
  <si>
    <t>CUST1109</t>
  </si>
  <si>
    <t>Anjali Rao</t>
  </si>
  <si>
    <t>ORD0170</t>
  </si>
  <si>
    <t>CUST1227</t>
  </si>
  <si>
    <t>ORD0171</t>
  </si>
  <si>
    <t>CUST1358</t>
  </si>
  <si>
    <t>Priya Shah</t>
  </si>
  <si>
    <t>ORD0172</t>
  </si>
  <si>
    <t>ORD0173</t>
  </si>
  <si>
    <t>CUST1209</t>
  </si>
  <si>
    <t>ORD0174</t>
  </si>
  <si>
    <t>Deepa Agarwal</t>
  </si>
  <si>
    <t>ORD0175</t>
  </si>
  <si>
    <t>CUST1084</t>
  </si>
  <si>
    <t>Priya Joshi</t>
  </si>
  <si>
    <t>ORD0176</t>
  </si>
  <si>
    <t>CUST1282</t>
  </si>
  <si>
    <t>ORD0177</t>
  </si>
  <si>
    <t>Priya Khanna</t>
  </si>
  <si>
    <t>ORD0178</t>
  </si>
  <si>
    <t>Manish Pillai</t>
  </si>
  <si>
    <t>ORD0179</t>
  </si>
  <si>
    <t>CUST1350</t>
  </si>
  <si>
    <t>ORD0180</t>
  </si>
  <si>
    <t>CUST1310</t>
  </si>
  <si>
    <t>Rohan Joshi</t>
  </si>
  <si>
    <t>ORD0181</t>
  </si>
  <si>
    <t>Arun Gupta</t>
  </si>
  <si>
    <t>ORD0182</t>
  </si>
  <si>
    <t>CUST1214</t>
  </si>
  <si>
    <t>ORD0183</t>
  </si>
  <si>
    <t>ORD0184</t>
  </si>
  <si>
    <t>CUST1025</t>
  </si>
  <si>
    <t>ORD0185</t>
  </si>
  <si>
    <t>Pooja Mehta</t>
  </si>
  <si>
    <t>ORD0186</t>
  </si>
  <si>
    <t>ORD0187</t>
  </si>
  <si>
    <t>CUST1201</t>
  </si>
  <si>
    <t>Pooja Joshi</t>
  </si>
  <si>
    <t>ORD0188</t>
  </si>
  <si>
    <t>CUST1070</t>
  </si>
  <si>
    <t>Arjun Bhat</t>
  </si>
  <si>
    <t>ORD0189</t>
  </si>
  <si>
    <t>CUST1315</t>
  </si>
  <si>
    <t>Meera Agarwal</t>
  </si>
  <si>
    <t>ORD0190</t>
  </si>
  <si>
    <t>CUST1008</t>
  </si>
  <si>
    <t>ORD0191</t>
  </si>
  <si>
    <t>CUST1495</t>
  </si>
  <si>
    <t>Manish Agarwal</t>
  </si>
  <si>
    <t>ORD0192</t>
  </si>
  <si>
    <t>CUST1348</t>
  </si>
  <si>
    <t>Sneha Verma</t>
  </si>
  <si>
    <t>ORD0193</t>
  </si>
  <si>
    <t>Suresh Khanna</t>
  </si>
  <si>
    <t>ORD0194</t>
  </si>
  <si>
    <t>CUST1192</t>
  </si>
  <si>
    <t>ORD0195</t>
  </si>
  <si>
    <t>Sneha Kumar</t>
  </si>
  <si>
    <t>ORD0196</t>
  </si>
  <si>
    <t>CUST1286</t>
  </si>
  <si>
    <t>Rahul Rao</t>
  </si>
  <si>
    <t>ORD0197</t>
  </si>
  <si>
    <t>CUST1147</t>
  </si>
  <si>
    <t>ORD0198</t>
  </si>
  <si>
    <t>CUST1356</t>
  </si>
  <si>
    <t>ORD0199</t>
  </si>
  <si>
    <t>CUST1026</t>
  </si>
  <si>
    <t>Diya Pillai</t>
  </si>
  <si>
    <t>ORD0200</t>
  </si>
  <si>
    <t>ORD0201</t>
  </si>
  <si>
    <t>Deepa Verma</t>
  </si>
  <si>
    <t>ORD0202</t>
  </si>
  <si>
    <t>CUST1492</t>
  </si>
  <si>
    <t>Meera Verma</t>
  </si>
  <si>
    <t>SQL Guide</t>
  </si>
  <si>
    <t>ORD0203</t>
  </si>
  <si>
    <t>CUST1278</t>
  </si>
  <si>
    <t>Suresh Bhat</t>
  </si>
  <si>
    <t>ORD0204</t>
  </si>
  <si>
    <t>CUST1234</t>
  </si>
  <si>
    <t>ORD0205</t>
  </si>
  <si>
    <t>CUST1327</t>
  </si>
  <si>
    <t>ORD0206</t>
  </si>
  <si>
    <t>Aarav Kumar</t>
  </si>
  <si>
    <t>ORD0207</t>
  </si>
  <si>
    <t>CUST1133</t>
  </si>
  <si>
    <t>Pooja Singh</t>
  </si>
  <si>
    <t>ORD0208</t>
  </si>
  <si>
    <t>CUST1353</t>
  </si>
  <si>
    <t>Diya Rao</t>
  </si>
  <si>
    <t>ORD0209</t>
  </si>
  <si>
    <t>ORD0210</t>
  </si>
  <si>
    <t>CUST1270</t>
  </si>
  <si>
    <t>ORD0211</t>
  </si>
  <si>
    <t>CUST1437</t>
  </si>
  <si>
    <t>Suresh Das</t>
  </si>
  <si>
    <t>ORD0212</t>
  </si>
  <si>
    <t>Nisha Das</t>
  </si>
  <si>
    <t>ORD0213</t>
  </si>
  <si>
    <t>CUST1001</t>
  </si>
  <si>
    <t>Kiran Agarwal</t>
  </si>
  <si>
    <t>ORD0214</t>
  </si>
  <si>
    <t>Kavita Verma</t>
  </si>
  <si>
    <t>ORD0215</t>
  </si>
  <si>
    <t>ORD0216</t>
  </si>
  <si>
    <t>CUST1275</t>
  </si>
  <si>
    <t>ORD0217</t>
  </si>
  <si>
    <t>CUST1421</t>
  </si>
  <si>
    <t>Sneha Singh</t>
  </si>
  <si>
    <t>ORD0218</t>
  </si>
  <si>
    <t>ORD0219</t>
  </si>
  <si>
    <t>CUST1446</t>
  </si>
  <si>
    <t>ORD0220</t>
  </si>
  <si>
    <t>CUST1148</t>
  </si>
  <si>
    <t>Sneha Agarwal</t>
  </si>
  <si>
    <t>ORD0221</t>
  </si>
  <si>
    <t>CUST1338</t>
  </si>
  <si>
    <t>Suresh Singh</t>
  </si>
  <si>
    <t>ORD0222</t>
  </si>
  <si>
    <t>CUST1284</t>
  </si>
  <si>
    <t>ORD0223</t>
  </si>
  <si>
    <t>CUST1094</t>
  </si>
  <si>
    <t>ORD0224</t>
  </si>
  <si>
    <t>Nisha Mishra</t>
  </si>
  <si>
    <t>ORD0225</t>
  </si>
  <si>
    <t>ORD0226</t>
  </si>
  <si>
    <t>Manish Mishra</t>
  </si>
  <si>
    <t>ORD0227</t>
  </si>
  <si>
    <t>CUST1060</t>
  </si>
  <si>
    <t>ORD0228</t>
  </si>
  <si>
    <t>Pooja Rao</t>
  </si>
  <si>
    <t>ORD0229</t>
  </si>
  <si>
    <t>CUST1189</t>
  </si>
  <si>
    <t>ORD0230</t>
  </si>
  <si>
    <t>Meera Reddy</t>
  </si>
  <si>
    <t>ORD0231</t>
  </si>
  <si>
    <t>CUST1483</t>
  </si>
  <si>
    <t>Arjun Kumar</t>
  </si>
  <si>
    <t>ORD0232</t>
  </si>
  <si>
    <t>CUST1279</t>
  </si>
  <si>
    <t>Kavita Nair</t>
  </si>
  <si>
    <t>ORD0233</t>
  </si>
  <si>
    <t>CUST1431</t>
  </si>
  <si>
    <t>ORD0234</t>
  </si>
  <si>
    <t>CUST1478</t>
  </si>
  <si>
    <t>Anjali Bhat</t>
  </si>
  <si>
    <t>ORD0235</t>
  </si>
  <si>
    <t>Deepa Rao</t>
  </si>
  <si>
    <t>ORD0236</t>
  </si>
  <si>
    <t>Suresh Kumar</t>
  </si>
  <si>
    <t>ORD0237</t>
  </si>
  <si>
    <t>ORD0238</t>
  </si>
  <si>
    <t>CUST1004</t>
  </si>
  <si>
    <t>Priya Patel</t>
  </si>
  <si>
    <t>ORD0239</t>
  </si>
  <si>
    <t>CUST1461</t>
  </si>
  <si>
    <t>Manish Bhat</t>
  </si>
  <si>
    <t>ORD0240</t>
  </si>
  <si>
    <t>CUST1475</t>
  </si>
  <si>
    <t>Arjun Sharma</t>
  </si>
  <si>
    <t>ORD0241</t>
  </si>
  <si>
    <t>Manish Mehta</t>
  </si>
  <si>
    <t>ORD0242</t>
  </si>
  <si>
    <t>CUST1027</t>
  </si>
  <si>
    <t>ORD0243</t>
  </si>
  <si>
    <t>CUST1167</t>
  </si>
  <si>
    <t>ORD0244</t>
  </si>
  <si>
    <t>ORD0245</t>
  </si>
  <si>
    <t>ORD0246</t>
  </si>
  <si>
    <t>CUST1044</t>
  </si>
  <si>
    <t>ORD0247</t>
  </si>
  <si>
    <t>ORD0248</t>
  </si>
  <si>
    <t>CUST1463</t>
  </si>
  <si>
    <t>ORD0249</t>
  </si>
  <si>
    <t>CUST1085</t>
  </si>
  <si>
    <t>Nisha Kumar</t>
  </si>
  <si>
    <t>ORD0250</t>
  </si>
  <si>
    <t>CUST1304</t>
  </si>
  <si>
    <t>Anjali Iyer</t>
  </si>
  <si>
    <t>ORD0251</t>
  </si>
  <si>
    <t>CUST1441</t>
  </si>
  <si>
    <t>Arjun Das</t>
  </si>
  <si>
    <t>ORD0252</t>
  </si>
  <si>
    <t>CUST1160</t>
  </si>
  <si>
    <t>Priya Mehta</t>
  </si>
  <si>
    <t>ORD0253</t>
  </si>
  <si>
    <t>Vijay Shah</t>
  </si>
  <si>
    <t>ORD0254</t>
  </si>
  <si>
    <t>CUST1236</t>
  </si>
  <si>
    <t>Kiran Das</t>
  </si>
  <si>
    <t>ORD0255</t>
  </si>
  <si>
    <t>Nisha Mehta</t>
  </si>
  <si>
    <t>ORD0256</t>
  </si>
  <si>
    <t>ORD0257</t>
  </si>
  <si>
    <t>CUST1181</t>
  </si>
  <si>
    <t>ORD0258</t>
  </si>
  <si>
    <t>CUST1113</t>
  </si>
  <si>
    <t>Suresh Tiwari</t>
  </si>
  <si>
    <t>ORD0259</t>
  </si>
  <si>
    <t>CUST1176</t>
  </si>
  <si>
    <t>ORD0260</t>
  </si>
  <si>
    <t>CUST1233</t>
  </si>
  <si>
    <t>ORD0261</t>
  </si>
  <si>
    <t>ORD0262</t>
  </si>
  <si>
    <t>CUST1218</t>
  </si>
  <si>
    <t>ORD0263</t>
  </si>
  <si>
    <t>ORD0264</t>
  </si>
  <si>
    <t>CUST1032</t>
  </si>
  <si>
    <t>Manish Gupta</t>
  </si>
  <si>
    <t>ORD0265</t>
  </si>
  <si>
    <t>ORD0266</t>
  </si>
  <si>
    <t>CUST1416</t>
  </si>
  <si>
    <t>Meera Khanna</t>
  </si>
  <si>
    <t>ORD0267</t>
  </si>
  <si>
    <t>CUST1072</t>
  </si>
  <si>
    <t>Suresh Mehta</t>
  </si>
  <si>
    <t>ORD0268</t>
  </si>
  <si>
    <t>ORD0269</t>
  </si>
  <si>
    <t>CUST1183</t>
  </si>
  <si>
    <t>ORD0270</t>
  </si>
  <si>
    <t>CUST1212</t>
  </si>
  <si>
    <t>Arun Bhat</t>
  </si>
  <si>
    <t>ORD0271</t>
  </si>
  <si>
    <t>CUST1115</t>
  </si>
  <si>
    <t>Novel</t>
  </si>
  <si>
    <t>ORD0272</t>
  </si>
  <si>
    <t>CUST1396</t>
  </si>
  <si>
    <t>Deepa Shah</t>
  </si>
  <si>
    <t>ORD0273</t>
  </si>
  <si>
    <t>CUST1016</t>
  </si>
  <si>
    <t>Arun Kumar</t>
  </si>
  <si>
    <t>ORD0274</t>
  </si>
  <si>
    <t>Pooja Khanna</t>
  </si>
  <si>
    <t>ORD0275</t>
  </si>
  <si>
    <t>CUST1272</t>
  </si>
  <si>
    <t>Rahul Khanna</t>
  </si>
  <si>
    <t>ORD0276</t>
  </si>
  <si>
    <t>CUST1069</t>
  </si>
  <si>
    <t>Nisha Verma</t>
  </si>
  <si>
    <t>ORD0277</t>
  </si>
  <si>
    <t>CUST1346</t>
  </si>
  <si>
    <t>ORD0278</t>
  </si>
  <si>
    <t>Ananya Mehta</t>
  </si>
  <si>
    <t>ORD0279</t>
  </si>
  <si>
    <t>CUST1497</t>
  </si>
  <si>
    <t>ORD0280</t>
  </si>
  <si>
    <t>Meera Joshi</t>
  </si>
  <si>
    <t>ORD0281</t>
  </si>
  <si>
    <t>CUST1401</t>
  </si>
  <si>
    <t>ORD0282</t>
  </si>
  <si>
    <t>CUST1451</t>
  </si>
  <si>
    <t>Meera Nair</t>
  </si>
  <si>
    <t>ORD0283</t>
  </si>
  <si>
    <t>CUST1156</t>
  </si>
  <si>
    <t>Sneha Pillai</t>
  </si>
  <si>
    <t>ORD0284</t>
  </si>
  <si>
    <t>ORD0285</t>
  </si>
  <si>
    <t>CUST1045</t>
  </si>
  <si>
    <t>Diya Gupta</t>
  </si>
  <si>
    <t>ORD0286</t>
  </si>
  <si>
    <t>Ananya Tiwari</t>
  </si>
  <si>
    <t>ORD0287</t>
  </si>
  <si>
    <t>ORD0288</t>
  </si>
  <si>
    <t>ORD0289</t>
  </si>
  <si>
    <t>CUST1311</t>
  </si>
  <si>
    <t>Meera Sharma</t>
  </si>
  <si>
    <t>ORD0290</t>
  </si>
  <si>
    <t>Sneha Bhat</t>
  </si>
  <si>
    <t>ORD0291</t>
  </si>
  <si>
    <t>CUST1006</t>
  </si>
  <si>
    <t>ORD0292</t>
  </si>
  <si>
    <t>Ananya Sharma</t>
  </si>
  <si>
    <t>ORD0293</t>
  </si>
  <si>
    <t>CUST1364</t>
  </si>
  <si>
    <t>Suresh Pillai</t>
  </si>
  <si>
    <t>ORD0294</t>
  </si>
  <si>
    <t>ORD0295</t>
  </si>
  <si>
    <t>CUST1373</t>
  </si>
  <si>
    <t>ORD0296</t>
  </si>
  <si>
    <t>CUST1379</t>
  </si>
  <si>
    <t>Priya Gupta</t>
  </si>
  <si>
    <t>ORD0297</t>
  </si>
  <si>
    <t>CUST1369</t>
  </si>
  <si>
    <t>ORD0298</t>
  </si>
  <si>
    <t>ORD0299</t>
  </si>
  <si>
    <t>Rahul Gupta</t>
  </si>
  <si>
    <t>ORD0300</t>
  </si>
  <si>
    <t>ORD0301</t>
  </si>
  <si>
    <t>CUST1368</t>
  </si>
  <si>
    <t>ORD0302</t>
  </si>
  <si>
    <t>CUST1264</t>
  </si>
  <si>
    <t>Vivaan Mehta</t>
  </si>
  <si>
    <t>ORD0303</t>
  </si>
  <si>
    <t>CUST1102</t>
  </si>
  <si>
    <t>ORD0304</t>
  </si>
  <si>
    <t>Sneha Reddy</t>
  </si>
  <si>
    <t>ORD0305</t>
  </si>
  <si>
    <t>ORD0306</t>
  </si>
  <si>
    <t>ORD0307</t>
  </si>
  <si>
    <t>ORD0308</t>
  </si>
  <si>
    <t>ORD0309</t>
  </si>
  <si>
    <t>ORD0310</t>
  </si>
  <si>
    <t>Diya Patel</t>
  </si>
  <si>
    <t>ORD0311</t>
  </si>
  <si>
    <t>ORD0312</t>
  </si>
  <si>
    <t>ORD0313</t>
  </si>
  <si>
    <t>ORD0314</t>
  </si>
  <si>
    <t>CUST1433</t>
  </si>
  <si>
    <t>Arjun Gupta</t>
  </si>
  <si>
    <t>ORD0315</t>
  </si>
  <si>
    <t>CUST1349</t>
  </si>
  <si>
    <t>Nisha Nair</t>
  </si>
  <si>
    <t>ORD0316</t>
  </si>
  <si>
    <t>ORD0317</t>
  </si>
  <si>
    <t>ORD0318</t>
  </si>
  <si>
    <t>CUST1257</t>
  </si>
  <si>
    <t>ORD0319</t>
  </si>
  <si>
    <t>Suresh Shah</t>
  </si>
  <si>
    <t>ORD0320</t>
  </si>
  <si>
    <t>CUST1469</t>
  </si>
  <si>
    <t>ORD0321</t>
  </si>
  <si>
    <t>ORD0322</t>
  </si>
  <si>
    <t>ORD0323</t>
  </si>
  <si>
    <t>CUST1314</t>
  </si>
  <si>
    <t>Kiran Reddy</t>
  </si>
  <si>
    <t>ORD0324</t>
  </si>
  <si>
    <t>Diya Tiwari</t>
  </si>
  <si>
    <t>ORD0325</t>
  </si>
  <si>
    <t>CUST1165</t>
  </si>
  <si>
    <t>Rohan Nair</t>
  </si>
  <si>
    <t>ORD0326</t>
  </si>
  <si>
    <t>ORD0327</t>
  </si>
  <si>
    <t>Manish Verma</t>
  </si>
  <si>
    <t>ORD0328</t>
  </si>
  <si>
    <t>Arjun Patel</t>
  </si>
  <si>
    <t>ORD0329</t>
  </si>
  <si>
    <t>CUST1107</t>
  </si>
  <si>
    <t>ORD0330</t>
  </si>
  <si>
    <t>ORD0331</t>
  </si>
  <si>
    <t>CUST1351</t>
  </si>
  <si>
    <t>ORD0332</t>
  </si>
  <si>
    <t>CUST1087</t>
  </si>
  <si>
    <t>ORD0333</t>
  </si>
  <si>
    <t>CUST1482</t>
  </si>
  <si>
    <t>ORD0334</t>
  </si>
  <si>
    <t>Deepa Kumar</t>
  </si>
  <si>
    <t>ORD0335</t>
  </si>
  <si>
    <t>Vivaan Shah</t>
  </si>
  <si>
    <t>ORD0336</t>
  </si>
  <si>
    <t>Kiran Nair</t>
  </si>
  <si>
    <t>ORD0337</t>
  </si>
  <si>
    <t>Rahul Patel</t>
  </si>
  <si>
    <t>ORD0338</t>
  </si>
  <si>
    <t>Rahul Singh</t>
  </si>
  <si>
    <t>ORD0339</t>
  </si>
  <si>
    <t>ORD0340</t>
  </si>
  <si>
    <t>CUST1479</t>
  </si>
  <si>
    <t>Kavita Agarwal</t>
  </si>
  <si>
    <t>ORD0341</t>
  </si>
  <si>
    <t>Manish Khanna</t>
  </si>
  <si>
    <t>ORD0342</t>
  </si>
  <si>
    <t>CUST1040</t>
  </si>
  <si>
    <t>Nisha Iyer</t>
  </si>
  <si>
    <t>ORD0343</t>
  </si>
  <si>
    <t>Deepa Joshi</t>
  </si>
  <si>
    <t>ORD0344</t>
  </si>
  <si>
    <t>ORD0345</t>
  </si>
  <si>
    <t>CUST1051</t>
  </si>
  <si>
    <t>Meera Mishra</t>
  </si>
  <si>
    <t>ORD0346</t>
  </si>
  <si>
    <t>CUST1088</t>
  </si>
  <si>
    <t>Rahul Mehta</t>
  </si>
  <si>
    <t>ORD0347</t>
  </si>
  <si>
    <t>CUST1169</t>
  </si>
  <si>
    <t>ORD0348</t>
  </si>
  <si>
    <t>ORD0349</t>
  </si>
  <si>
    <t>CUST1096</t>
  </si>
  <si>
    <t>Arun Iyer</t>
  </si>
  <si>
    <t>ORD0350</t>
  </si>
  <si>
    <t>CUST1363</t>
  </si>
  <si>
    <t>ORD0351</t>
  </si>
  <si>
    <t>ORD0352</t>
  </si>
  <si>
    <t>CUST1190</t>
  </si>
  <si>
    <t>Kavita Khanna</t>
  </si>
  <si>
    <t>ORD0353</t>
  </si>
  <si>
    <t>CUST1132</t>
  </si>
  <si>
    <t>Ananya Rao</t>
  </si>
  <si>
    <t>ORD0354</t>
  </si>
  <si>
    <t>Kiran Kumar</t>
  </si>
  <si>
    <t>ORD0355</t>
  </si>
  <si>
    <t>CUST1410</t>
  </si>
  <si>
    <t>Aarav Singh</t>
  </si>
  <si>
    <t>ORD0356</t>
  </si>
  <si>
    <t>CUST1436</t>
  </si>
  <si>
    <t>ORD0357</t>
  </si>
  <si>
    <t>CUST1003</t>
  </si>
  <si>
    <t>ORD0358</t>
  </si>
  <si>
    <t>CUST1141</t>
  </si>
  <si>
    <t>ORD0359</t>
  </si>
  <si>
    <t>ORD0360</t>
  </si>
  <si>
    <t>ORD0361</t>
  </si>
  <si>
    <t>Deepa Nair</t>
  </si>
  <si>
    <t>ORD0362</t>
  </si>
  <si>
    <t>CUST1460</t>
  </si>
  <si>
    <t>ORD0363</t>
  </si>
  <si>
    <t>CUST1150</t>
  </si>
  <si>
    <t>ORD0364</t>
  </si>
  <si>
    <t>CUST1444</t>
  </si>
  <si>
    <t>ORD0365</t>
  </si>
  <si>
    <t>CUST1457</t>
  </si>
  <si>
    <t>Arun Reddy</t>
  </si>
  <si>
    <t>ORD0366</t>
  </si>
  <si>
    <t>CUST1002</t>
  </si>
  <si>
    <t>ORD0367</t>
  </si>
  <si>
    <t>CUST1324</t>
  </si>
  <si>
    <t>ORD0368</t>
  </si>
  <si>
    <t>CUST1007</t>
  </si>
  <si>
    <t>Arjun Tiwari</t>
  </si>
  <si>
    <t>ORD0369</t>
  </si>
  <si>
    <t>CUST1159</t>
  </si>
  <si>
    <t>Rohan Gupta</t>
  </si>
  <si>
    <t>ORD0370</t>
  </si>
  <si>
    <t>ORD0371</t>
  </si>
  <si>
    <t>Vijay Sharma</t>
  </si>
  <si>
    <t>ORD0372</t>
  </si>
  <si>
    <t>CUST1187</t>
  </si>
  <si>
    <t>ORD0373</t>
  </si>
  <si>
    <t>CUST1024</t>
  </si>
  <si>
    <t>ORD0374</t>
  </si>
  <si>
    <t>ORD0375</t>
  </si>
  <si>
    <t>CUST1053</t>
  </si>
  <si>
    <t>ORD0376</t>
  </si>
  <si>
    <t>CUST1425</t>
  </si>
  <si>
    <t>Suresh Iyer</t>
  </si>
  <si>
    <t>ORD0377</t>
  </si>
  <si>
    <t>ORD0378</t>
  </si>
  <si>
    <t>CUST1399</t>
  </si>
  <si>
    <t>ORD0379</t>
  </si>
  <si>
    <t>CUST1089</t>
  </si>
  <si>
    <t>ORD0380</t>
  </si>
  <si>
    <t>CUST1339</t>
  </si>
  <si>
    <t>ORD0381</t>
  </si>
  <si>
    <t>Vijay Das</t>
  </si>
  <si>
    <t>ORD0382</t>
  </si>
  <si>
    <t>CUST1371</t>
  </si>
  <si>
    <t>Vivaan Nair</t>
  </si>
  <si>
    <t>ORD0383</t>
  </si>
  <si>
    <t>ORD0384</t>
  </si>
  <si>
    <t>ORD0385</t>
  </si>
  <si>
    <t>ORD0386</t>
  </si>
  <si>
    <t>CUST1258</t>
  </si>
  <si>
    <t>ORD0387</t>
  </si>
  <si>
    <t>Vijay Mehta</t>
  </si>
  <si>
    <t>ORD0388</t>
  </si>
  <si>
    <t>CUST1228</t>
  </si>
  <si>
    <t>ORD0389</t>
  </si>
  <si>
    <t>CUST1046</t>
  </si>
  <si>
    <t>ORD0390</t>
  </si>
  <si>
    <t>ORD0391</t>
  </si>
  <si>
    <t>ORD0392</t>
  </si>
  <si>
    <t>CUST1252</t>
  </si>
  <si>
    <t>ORD0393</t>
  </si>
  <si>
    <t>ORD0394</t>
  </si>
  <si>
    <t>Arun Agarwal</t>
  </si>
  <si>
    <t>ORD0395</t>
  </si>
  <si>
    <t>CUST1247</t>
  </si>
  <si>
    <t>Suresh Nair</t>
  </si>
  <si>
    <t>ORD0396</t>
  </si>
  <si>
    <t>CUST1196</t>
  </si>
  <si>
    <t>ORD0397</t>
  </si>
  <si>
    <t>Suresh Rao</t>
  </si>
  <si>
    <t>ORD0398</t>
  </si>
  <si>
    <t>CUST1344</t>
  </si>
  <si>
    <t>ORD0399</t>
  </si>
  <si>
    <t>ORD0400</t>
  </si>
  <si>
    <t>ORD0401</t>
  </si>
  <si>
    <t>ORD0402</t>
  </si>
  <si>
    <t>ORD0403</t>
  </si>
  <si>
    <t>CUST1103</t>
  </si>
  <si>
    <t>ORD0404</t>
  </si>
  <si>
    <t>Arun Nair</t>
  </si>
  <si>
    <t>ORD0405</t>
  </si>
  <si>
    <t>ORD0406</t>
  </si>
  <si>
    <t>CUST1305</t>
  </si>
  <si>
    <t>ORD0407</t>
  </si>
  <si>
    <t>ORD0408</t>
  </si>
  <si>
    <t>ORD0409</t>
  </si>
  <si>
    <t>ORD0410</t>
  </si>
  <si>
    <t>Diya Mehta</t>
  </si>
  <si>
    <t>ORD0411</t>
  </si>
  <si>
    <t>ORD0412</t>
  </si>
  <si>
    <t>CUST1320</t>
  </si>
  <si>
    <t>Ananya Iyer</t>
  </si>
  <si>
    <t>ORD0413</t>
  </si>
  <si>
    <t>CUST1036</t>
  </si>
  <si>
    <t>ORD0414</t>
  </si>
  <si>
    <t>ORD0415</t>
  </si>
  <si>
    <t>Deepa Sharma</t>
  </si>
  <si>
    <t>ORD0416</t>
  </si>
  <si>
    <t>ORD0417</t>
  </si>
  <si>
    <t>Rohan Mehta</t>
  </si>
  <si>
    <t>ORD0418</t>
  </si>
  <si>
    <t>ORD0419</t>
  </si>
  <si>
    <t>Pooja Iyer</t>
  </si>
  <si>
    <t>ORD0420</t>
  </si>
  <si>
    <t>ORD0421</t>
  </si>
  <si>
    <t>CUST1297</t>
  </si>
  <si>
    <t>Kavita Joshi</t>
  </si>
  <si>
    <t>ORD0422</t>
  </si>
  <si>
    <t>ORD0423</t>
  </si>
  <si>
    <t>ORD0424</t>
  </si>
  <si>
    <t>ORD0425</t>
  </si>
  <si>
    <t>CUST1375</t>
  </si>
  <si>
    <t>Ananya Patel</t>
  </si>
  <si>
    <t>ORD0426</t>
  </si>
  <si>
    <t>Rahul Mishra</t>
  </si>
  <si>
    <t>ORD0427</t>
  </si>
  <si>
    <t>CUST1068</t>
  </si>
  <si>
    <t>Arun Tiwari</t>
  </si>
  <si>
    <t>ORD0428</t>
  </si>
  <si>
    <t>CUST1387</t>
  </si>
  <si>
    <t>Suresh Reddy</t>
  </si>
  <si>
    <t>ORD0429</t>
  </si>
  <si>
    <t>CUST1480</t>
  </si>
  <si>
    <t>Pooja Verma</t>
  </si>
  <si>
    <t>ORD0430</t>
  </si>
  <si>
    <t>CUST1265</t>
  </si>
  <si>
    <t>ORD0431</t>
  </si>
  <si>
    <t>Rahul Kumar</t>
  </si>
  <si>
    <t>ORD0432</t>
  </si>
  <si>
    <t>CUST1498</t>
  </si>
  <si>
    <t>Sneha Tiwari</t>
  </si>
  <si>
    <t>ORD0433</t>
  </si>
  <si>
    <t>CUST1071</t>
  </si>
  <si>
    <t>ORD0434</t>
  </si>
  <si>
    <t>CUST1308</t>
  </si>
  <si>
    <t>ORD0435</t>
  </si>
  <si>
    <t>Nisha Sharma</t>
  </si>
  <si>
    <t>ORD0436</t>
  </si>
  <si>
    <t>CUST1456</t>
  </si>
  <si>
    <t>Manish Reddy</t>
  </si>
  <si>
    <t>ORD0437</t>
  </si>
  <si>
    <t>CUST1449</t>
  </si>
  <si>
    <t>Meera Patel</t>
  </si>
  <si>
    <t>ORD0438</t>
  </si>
  <si>
    <t>CUST1307</t>
  </si>
  <si>
    <t>ORD0439</t>
  </si>
  <si>
    <t>ORD0440</t>
  </si>
  <si>
    <t>Anjali Gupta</t>
  </si>
  <si>
    <t>ORD0441</t>
  </si>
  <si>
    <t>ORD0442</t>
  </si>
  <si>
    <t>CUST1117</t>
  </si>
  <si>
    <t>ORD0443</t>
  </si>
  <si>
    <t>CUST1465</t>
  </si>
  <si>
    <t>ORD0444</t>
  </si>
  <si>
    <t>CUST1266</t>
  </si>
  <si>
    <t>Aarav Mehta</t>
  </si>
  <si>
    <t>ORD0445</t>
  </si>
  <si>
    <t>ORD0446</t>
  </si>
  <si>
    <t>CUST1285</t>
  </si>
  <si>
    <t>ORD0447</t>
  </si>
  <si>
    <t>ORD0448</t>
  </si>
  <si>
    <t>ORD0449</t>
  </si>
  <si>
    <t>ORD0450</t>
  </si>
  <si>
    <t>Priya Bhat</t>
  </si>
  <si>
    <t>ORD0451</t>
  </si>
  <si>
    <t>CUST1306</t>
  </si>
  <si>
    <t>ORD0452</t>
  </si>
  <si>
    <t>Ananya Kumar</t>
  </si>
  <si>
    <t>ORD0453</t>
  </si>
  <si>
    <t>Ananya Mishra</t>
  </si>
  <si>
    <t>ORD0454</t>
  </si>
  <si>
    <t>CUST1099</t>
  </si>
  <si>
    <t>ORD0455</t>
  </si>
  <si>
    <t>ORD0456</t>
  </si>
  <si>
    <t>CUST1124</t>
  </si>
  <si>
    <t>ORD0457</t>
  </si>
  <si>
    <t>Sneha Joshi</t>
  </si>
  <si>
    <t>ORD0458</t>
  </si>
  <si>
    <t>CUST1204</t>
  </si>
  <si>
    <t>ORD0459</t>
  </si>
  <si>
    <t>Kiran Bhat</t>
  </si>
  <si>
    <t>ORD0460</t>
  </si>
  <si>
    <t>ORD0461</t>
  </si>
  <si>
    <t>Anjali Joshi</t>
  </si>
  <si>
    <t>ORD0462</t>
  </si>
  <si>
    <t>CUST1384</t>
  </si>
  <si>
    <t>ORD0463</t>
  </si>
  <si>
    <t>ORD0464</t>
  </si>
  <si>
    <t>Diya Joshi</t>
  </si>
  <si>
    <t>ORD0465</t>
  </si>
  <si>
    <t>Arjun Shah</t>
  </si>
  <si>
    <t>ORD0466</t>
  </si>
  <si>
    <t>CUST1143</t>
  </si>
  <si>
    <t>ORD0467</t>
  </si>
  <si>
    <t>ORD0468</t>
  </si>
  <si>
    <t>ORD0469</t>
  </si>
  <si>
    <t>CUST1110</t>
  </si>
  <si>
    <t>Rahul Bhat</t>
  </si>
  <si>
    <t>ORD0470</t>
  </si>
  <si>
    <t>CUST1131</t>
  </si>
  <si>
    <t>Pooja Sharma</t>
  </si>
  <si>
    <t>ORD0471</t>
  </si>
  <si>
    <t>ORD0472</t>
  </si>
  <si>
    <t>ORD0473</t>
  </si>
  <si>
    <t>CUST1175</t>
  </si>
  <si>
    <t>ORD0474</t>
  </si>
  <si>
    <t>Pooja Agarwal</t>
  </si>
  <si>
    <t>ORD0475</t>
  </si>
  <si>
    <t>CUST1128</t>
  </si>
  <si>
    <t>ORD0476</t>
  </si>
  <si>
    <t>ORD0477</t>
  </si>
  <si>
    <t>ORD0478</t>
  </si>
  <si>
    <t>CUST1239</t>
  </si>
  <si>
    <t>ORD0479</t>
  </si>
  <si>
    <t>ORD0480</t>
  </si>
  <si>
    <t>CUST1211</t>
  </si>
  <si>
    <t>ORD0481</t>
  </si>
  <si>
    <t>ORD0482</t>
  </si>
  <si>
    <t>ORD0483</t>
  </si>
  <si>
    <t>ORD0484</t>
  </si>
  <si>
    <t>CUST1056</t>
  </si>
  <si>
    <t>Arun Khanna</t>
  </si>
  <si>
    <t>ORD0485</t>
  </si>
  <si>
    <t>Aarav Nair</t>
  </si>
  <si>
    <t>ORD0486</t>
  </si>
  <si>
    <t>ORD0487</t>
  </si>
  <si>
    <t>Rohan Verma</t>
  </si>
  <si>
    <t>ORD0488</t>
  </si>
  <si>
    <t>ORD0489</t>
  </si>
  <si>
    <t>ORD0490</t>
  </si>
  <si>
    <t>Diya Kumar</t>
  </si>
  <si>
    <t>ORD0491</t>
  </si>
  <si>
    <t>CUST1222</t>
  </si>
  <si>
    <t>ORD0492</t>
  </si>
  <si>
    <t>ORD0493</t>
  </si>
  <si>
    <t>CUST1476</t>
  </si>
  <si>
    <t>Vivaan Verma</t>
  </si>
  <si>
    <t>ORD0494</t>
  </si>
  <si>
    <t>ORD0495</t>
  </si>
  <si>
    <t>ORD0496</t>
  </si>
  <si>
    <t>Anjali Mishra</t>
  </si>
  <si>
    <t>ORD0497</t>
  </si>
  <si>
    <t>CUST1000</t>
  </si>
  <si>
    <t>ORD0498</t>
  </si>
  <si>
    <t>CUST1337</t>
  </si>
  <si>
    <t>Deepa Mehta</t>
  </si>
  <si>
    <t>ORD0499</t>
  </si>
  <si>
    <t>CUST1164</t>
  </si>
  <si>
    <t>ORD0500</t>
  </si>
  <si>
    <t>CUST1050</t>
  </si>
  <si>
    <t>ORD0501</t>
  </si>
  <si>
    <t>ORD0502</t>
  </si>
  <si>
    <t>ORD0503</t>
  </si>
  <si>
    <t>ORD0504</t>
  </si>
  <si>
    <t>ORD0505</t>
  </si>
  <si>
    <t>ORD0506</t>
  </si>
  <si>
    <t>CUST1166</t>
  </si>
  <si>
    <t>ORD0507</t>
  </si>
  <si>
    <t>CUST1474</t>
  </si>
  <si>
    <t>ORD0508</t>
  </si>
  <si>
    <t>ORD0509</t>
  </si>
  <si>
    <t>ORD0510</t>
  </si>
  <si>
    <t>ORD0511</t>
  </si>
  <si>
    <t>ORD0512</t>
  </si>
  <si>
    <t>CUST1028</t>
  </si>
  <si>
    <t>ORD0513</t>
  </si>
  <si>
    <t>CUST1323</t>
  </si>
  <si>
    <t>Vijay Verma</t>
  </si>
  <si>
    <t>ORD0514</t>
  </si>
  <si>
    <t>ORD0515</t>
  </si>
  <si>
    <t>Rohan Reddy</t>
  </si>
  <si>
    <t>ORD0516</t>
  </si>
  <si>
    <t>ORD0517</t>
  </si>
  <si>
    <t>ORD0518</t>
  </si>
  <si>
    <t>ORD0519</t>
  </si>
  <si>
    <t>ORD0520</t>
  </si>
  <si>
    <t>CUST1079</t>
  </si>
  <si>
    <t>Ananya Gupta</t>
  </si>
  <si>
    <t>ORD0521</t>
  </si>
  <si>
    <t>CUST1411</t>
  </si>
  <si>
    <t>ORD0522</t>
  </si>
  <si>
    <t>CUST1267</t>
  </si>
  <si>
    <t>ORD0523</t>
  </si>
  <si>
    <t>ORD0524</t>
  </si>
  <si>
    <t>Aarav Patel</t>
  </si>
  <si>
    <t>ORD0525</t>
  </si>
  <si>
    <t>CUST1260</t>
  </si>
  <si>
    <t>ORD0526</t>
  </si>
  <si>
    <t>ORD0527</t>
  </si>
  <si>
    <t>ORD0528</t>
  </si>
  <si>
    <t>ORD0529</t>
  </si>
  <si>
    <t>ORD0530</t>
  </si>
  <si>
    <t>CUST1105</t>
  </si>
  <si>
    <t>ORD0531</t>
  </si>
  <si>
    <t>CUST1499</t>
  </si>
  <si>
    <t>ORD0532</t>
  </si>
  <si>
    <t>ORD0533</t>
  </si>
  <si>
    <t>CUST1054</t>
  </si>
  <si>
    <t>ORD0534</t>
  </si>
  <si>
    <t>Aarav Shah</t>
  </si>
  <si>
    <t>ORD0535</t>
  </si>
  <si>
    <t>ORD0536</t>
  </si>
  <si>
    <t>ORD0537</t>
  </si>
  <si>
    <t>CUST1443</t>
  </si>
  <si>
    <t>ORD0538</t>
  </si>
  <si>
    <t>ORD0539</t>
  </si>
  <si>
    <t>CUST1202</t>
  </si>
  <si>
    <t>Vivaan Mishra</t>
  </si>
  <si>
    <t>ORD0540</t>
  </si>
  <si>
    <t>ORD0541</t>
  </si>
  <si>
    <t>CUST1231</t>
  </si>
  <si>
    <t>ORD0542</t>
  </si>
  <si>
    <t>CUST1012</t>
  </si>
  <si>
    <t>ORD0543</t>
  </si>
  <si>
    <t>ORD0544</t>
  </si>
  <si>
    <t>CUST1193</t>
  </si>
  <si>
    <t>ORD0545</t>
  </si>
  <si>
    <t>CUST1091</t>
  </si>
  <si>
    <t>Vivaan Pillai</t>
  </si>
  <si>
    <t>ORD0546</t>
  </si>
  <si>
    <t>ORD0547</t>
  </si>
  <si>
    <t>CUST1121</t>
  </si>
  <si>
    <t>ORD0548</t>
  </si>
  <si>
    <t>ORD0549</t>
  </si>
  <si>
    <t>ORD0550</t>
  </si>
  <si>
    <t>CUST1312</t>
  </si>
  <si>
    <t>Anjali Agarwal</t>
  </si>
  <si>
    <t>ORD0551</t>
  </si>
  <si>
    <t>CUST1194</t>
  </si>
  <si>
    <t>Ananya Pillai</t>
  </si>
  <si>
    <t>ORD0552</t>
  </si>
  <si>
    <t>Kiran Iyer</t>
  </si>
  <si>
    <t>ORD0553</t>
  </si>
  <si>
    <t>ORD0554</t>
  </si>
  <si>
    <t>ORD0555</t>
  </si>
  <si>
    <t>ORD0556</t>
  </si>
  <si>
    <t>Meera Kumar</t>
  </si>
  <si>
    <t>ORD0557</t>
  </si>
  <si>
    <t>Vijay Agarwal</t>
  </si>
  <si>
    <t>ORD0558</t>
  </si>
  <si>
    <t>Rohan Bhat</t>
  </si>
  <si>
    <t>ORD0559</t>
  </si>
  <si>
    <t>ORD0560</t>
  </si>
  <si>
    <t>Rahul Sharma</t>
  </si>
  <si>
    <t>ORD0561</t>
  </si>
  <si>
    <t>CUST1442</t>
  </si>
  <si>
    <t>ORD0562</t>
  </si>
  <si>
    <t>CUST1154</t>
  </si>
  <si>
    <t>ORD0563</t>
  </si>
  <si>
    <t>Kavita Tiwari</t>
  </si>
  <si>
    <t>ORD0564</t>
  </si>
  <si>
    <t>ORD0565</t>
  </si>
  <si>
    <t>CUST1477</t>
  </si>
  <si>
    <t>ORD0566</t>
  </si>
  <si>
    <t>ORD0567</t>
  </si>
  <si>
    <t>ORD0568</t>
  </si>
  <si>
    <t>CUST1163</t>
  </si>
  <si>
    <t>ORD0569</t>
  </si>
  <si>
    <t>ORD0570</t>
  </si>
  <si>
    <t>Manish Das</t>
  </si>
  <si>
    <t>ORD0571</t>
  </si>
  <si>
    <t>CUST1386</t>
  </si>
  <si>
    <t>ORD0572</t>
  </si>
  <si>
    <t>CUST1114</t>
  </si>
  <si>
    <t>Rohan Khanna</t>
  </si>
  <si>
    <t>ORD0573</t>
  </si>
  <si>
    <t>CUST1015</t>
  </si>
  <si>
    <t>Ananya Bhat</t>
  </si>
  <si>
    <t>ORD0574</t>
  </si>
  <si>
    <t>ORD0575</t>
  </si>
  <si>
    <t>CUST1302</t>
  </si>
  <si>
    <t>ORD0576</t>
  </si>
  <si>
    <t>Nisha Pillai</t>
  </si>
  <si>
    <t>ORD0577</t>
  </si>
  <si>
    <t>Kavita Gupta</t>
  </si>
  <si>
    <t>ORD0578</t>
  </si>
  <si>
    <t>ORD0579</t>
  </si>
  <si>
    <t>CUST1454</t>
  </si>
  <si>
    <t>ORD0580</t>
  </si>
  <si>
    <t>Arjun Rao</t>
  </si>
  <si>
    <t>ORD0581</t>
  </si>
  <si>
    <t>ORD0582</t>
  </si>
  <si>
    <t>ORD0583</t>
  </si>
  <si>
    <t>ORD0584</t>
  </si>
  <si>
    <t>ORD0585</t>
  </si>
  <si>
    <t>CUST1328</t>
  </si>
  <si>
    <t>ORD0586</t>
  </si>
  <si>
    <t>ORD0587</t>
  </si>
  <si>
    <t>CUST1295</t>
  </si>
  <si>
    <t>ORD0588</t>
  </si>
  <si>
    <t>Rohan Tiwari</t>
  </si>
  <si>
    <t>ORD0589</t>
  </si>
  <si>
    <t>ORD0590</t>
  </si>
  <si>
    <t>ORD0591</t>
  </si>
  <si>
    <t>ORD0592</t>
  </si>
  <si>
    <t>CUST1414</t>
  </si>
  <si>
    <t>ORD0593</t>
  </si>
  <si>
    <t>ORD0594</t>
  </si>
  <si>
    <t>ORD0595</t>
  </si>
  <si>
    <t>ORD0596</t>
  </si>
  <si>
    <t>ORD0597</t>
  </si>
  <si>
    <t>Deepa Singh</t>
  </si>
  <si>
    <t>ORD0598</t>
  </si>
  <si>
    <t>CUST1408</t>
  </si>
  <si>
    <t>ORD0599</t>
  </si>
  <si>
    <t>CUST1333</t>
  </si>
  <si>
    <t>Rahul Joshi</t>
  </si>
  <si>
    <t>ORD0600</t>
  </si>
  <si>
    <t>ORD0601</t>
  </si>
  <si>
    <t>ORD0602</t>
  </si>
  <si>
    <t>ORD0603</t>
  </si>
  <si>
    <t>CUST1362</t>
  </si>
  <si>
    <t>ORD0604</t>
  </si>
  <si>
    <t>ORD0605</t>
  </si>
  <si>
    <t>ORD0606</t>
  </si>
  <si>
    <t>ORD0607</t>
  </si>
  <si>
    <t>CUST1052</t>
  </si>
  <si>
    <t>ORD0608</t>
  </si>
  <si>
    <t>ORD0609</t>
  </si>
  <si>
    <t>Kavita Pillai</t>
  </si>
  <si>
    <t>ORD0610</t>
  </si>
  <si>
    <t>ORD0611</t>
  </si>
  <si>
    <t>ORD0612</t>
  </si>
  <si>
    <t>CUST1458</t>
  </si>
  <si>
    <t>ORD0613</t>
  </si>
  <si>
    <t>CUST1303</t>
  </si>
  <si>
    <t>ORD0614</t>
  </si>
  <si>
    <t>Vivaan Joshi</t>
  </si>
  <si>
    <t>ORD0615</t>
  </si>
  <si>
    <t>ORD0616</t>
  </si>
  <si>
    <t>ORD0617</t>
  </si>
  <si>
    <t>ORD0618</t>
  </si>
  <si>
    <t>ORD0619</t>
  </si>
  <si>
    <t>CUST1171</t>
  </si>
  <si>
    <t>ORD0620</t>
  </si>
  <si>
    <t>CUST1473</t>
  </si>
  <si>
    <t>ORD0621</t>
  </si>
  <si>
    <t>ORD0622</t>
  </si>
  <si>
    <t>ORD0623</t>
  </si>
  <si>
    <t>CUST1321</t>
  </si>
  <si>
    <t>Meera Shah</t>
  </si>
  <si>
    <t>ORD0624</t>
  </si>
  <si>
    <t>Deepa Tiwari</t>
  </si>
  <si>
    <t>ORD0625</t>
  </si>
  <si>
    <t>ORD0626</t>
  </si>
  <si>
    <t>ORD0627</t>
  </si>
  <si>
    <t>ORD0628</t>
  </si>
  <si>
    <t>ORD0629</t>
  </si>
  <si>
    <t>ORD0630</t>
  </si>
  <si>
    <t>CUST1138</t>
  </si>
  <si>
    <t>ORD0631</t>
  </si>
  <si>
    <t>ORD0632</t>
  </si>
  <si>
    <t>Nisha Tiwari</t>
  </si>
  <si>
    <t>ORD0633</t>
  </si>
  <si>
    <t>ORD0634</t>
  </si>
  <si>
    <t>Vivaan Bhat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</si>
  <si>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</si>
  <si>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</si>
  <si>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</si>
  <si>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</si>
  <si>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</si>
  <si>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</si>
  <si>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</si>
  <si>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</si>
  <si>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</si>
  <si>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CUST1409</t>
  </si>
  <si>
    <t>ORD0644</t>
  </si>
  <si>
    <t>CUST1057</t>
  </si>
  <si>
    <t>ORD0645</t>
  </si>
  <si>
    <t>CUST1067</t>
  </si>
  <si>
    <t>Kavita Shah</t>
  </si>
  <si>
    <t>ORD0646</t>
  </si>
  <si>
    <t>ORD0647</t>
  </si>
  <si>
    <t>CUST1155</t>
  </si>
  <si>
    <t>ORD0648</t>
  </si>
  <si>
    <t>CUST1145</t>
  </si>
  <si>
    <t>ORD0649</t>
  </si>
  <si>
    <t>CUST1021</t>
  </si>
  <si>
    <t>Arjun Agarwal</t>
  </si>
  <si>
    <t>ORD0650</t>
  </si>
  <si>
    <t>CUST1162</t>
  </si>
  <si>
    <t>Pooja Reddy</t>
  </si>
  <si>
    <t>ORD0651</t>
  </si>
  <si>
    <t>Rohan Das</t>
  </si>
  <si>
    <t>ORD0652</t>
  </si>
  <si>
    <t>CUST1496</t>
  </si>
  <si>
    <t>ORD0653</t>
  </si>
  <si>
    <t>ORD0654</t>
  </si>
  <si>
    <t>Rahul Iyer</t>
  </si>
  <si>
    <t>ORD0655</t>
  </si>
  <si>
    <t>ORD0656</t>
  </si>
  <si>
    <t>ORD0657</t>
  </si>
  <si>
    <t>Arun Rao</t>
  </si>
  <si>
    <t>ORD0658</t>
  </si>
  <si>
    <t>ORD0659</t>
  </si>
  <si>
    <t>ORD0660</t>
  </si>
  <si>
    <t>ORD0661</t>
  </si>
  <si>
    <t>CUST1489</t>
  </si>
  <si>
    <t>ORD0662</t>
  </si>
  <si>
    <t>ORD0663</t>
  </si>
  <si>
    <t>ORD0664</t>
  </si>
  <si>
    <t>ORD0665</t>
  </si>
  <si>
    <t>ORD0666</t>
  </si>
  <si>
    <t>CUST1423</t>
  </si>
  <si>
    <t>ORD0667</t>
  </si>
  <si>
    <t>Pooja Bhat</t>
  </si>
  <si>
    <t>ORD0668</t>
  </si>
  <si>
    <t>CUST1407</t>
  </si>
  <si>
    <t>ORD0669</t>
  </si>
  <si>
    <t>ORD0670</t>
  </si>
  <si>
    <t>ORD0671</t>
  </si>
  <si>
    <t>ORD0672</t>
  </si>
  <si>
    <t>CUST1030</t>
  </si>
  <si>
    <t>ORD0673</t>
  </si>
  <si>
    <t>ORD0674</t>
  </si>
  <si>
    <t>CUST1082</t>
  </si>
  <si>
    <t>ORD0675</t>
  </si>
  <si>
    <t>CUST1366</t>
  </si>
  <si>
    <t>ORD0676</t>
  </si>
  <si>
    <t>ORD0677</t>
  </si>
  <si>
    <t>ORD0678</t>
  </si>
  <si>
    <t>ORD0679</t>
  </si>
  <si>
    <t>Sneha Mishra</t>
  </si>
  <si>
    <t>ORD0680</t>
  </si>
  <si>
    <t>ORD0681</t>
  </si>
  <si>
    <t>ORD0682</t>
  </si>
  <si>
    <t>CUST1429</t>
  </si>
  <si>
    <t>ORD0683</t>
  </si>
  <si>
    <t>ORD0684</t>
  </si>
  <si>
    <t>ORD0685</t>
  </si>
  <si>
    <t>Rohan Rao</t>
  </si>
  <si>
    <t>ORD0686</t>
  </si>
  <si>
    <t>ORD0687</t>
  </si>
  <si>
    <t>CUST1161</t>
  </si>
  <si>
    <t>ORD0688</t>
  </si>
  <si>
    <t>CUST1220</t>
  </si>
  <si>
    <t>ORD0689</t>
  </si>
  <si>
    <t>CUST1240</t>
  </si>
  <si>
    <t>ORD0690</t>
  </si>
  <si>
    <t>ORD0691</t>
  </si>
  <si>
    <t>Aarav Joshi</t>
  </si>
  <si>
    <t>ORD0692</t>
  </si>
  <si>
    <t>CUST1126</t>
  </si>
  <si>
    <t>ORD0693</t>
  </si>
  <si>
    <t>CUST1235</t>
  </si>
  <si>
    <t>ORD0694</t>
  </si>
  <si>
    <t>ORD0695</t>
  </si>
  <si>
    <t>CUST1391</t>
  </si>
  <si>
    <t>ORD0696</t>
  </si>
  <si>
    <t>ORD0697</t>
  </si>
  <si>
    <t>CUST1139</t>
  </si>
  <si>
    <t>ORD0698</t>
  </si>
  <si>
    <t>CUST1221</t>
  </si>
  <si>
    <t>ORD0699</t>
  </si>
  <si>
    <t>Aarav Tiwari</t>
  </si>
  <si>
    <t>ORD0700</t>
  </si>
  <si>
    <t>Anjali Pillai</t>
  </si>
  <si>
    <t>ORD0701</t>
  </si>
  <si>
    <t>ORD0702</t>
  </si>
  <si>
    <t>ORD0703</t>
  </si>
  <si>
    <t>ORD0704</t>
  </si>
  <si>
    <t>ORD0705</t>
  </si>
  <si>
    <t>ORD0706</t>
  </si>
  <si>
    <t>Suresh Agarwal</t>
  </si>
  <si>
    <t>ORD0707</t>
  </si>
  <si>
    <t>Vijay Singh</t>
  </si>
  <si>
    <t>ORD0708</t>
  </si>
  <si>
    <t>ORD0709</t>
  </si>
  <si>
    <t>ORD0710</t>
  </si>
  <si>
    <t>ORD0711</t>
  </si>
  <si>
    <t>ORD0712</t>
  </si>
  <si>
    <t>CUST1455</t>
  </si>
  <si>
    <t>ORD0713</t>
  </si>
  <si>
    <t>ORD0714</t>
  </si>
  <si>
    <t>ORD0715</t>
  </si>
  <si>
    <t>ORD0716</t>
  </si>
  <si>
    <t>CUST1405</t>
  </si>
  <si>
    <t>ORD0717</t>
  </si>
  <si>
    <t>ORD0718</t>
  </si>
  <si>
    <t>ORD0719</t>
  </si>
  <si>
    <t>ORD0720</t>
  </si>
  <si>
    <t>CUST1104</t>
  </si>
  <si>
    <t>ORD0721</t>
  </si>
  <si>
    <t>Meera Iyer</t>
  </si>
  <si>
    <t>ORD0722</t>
  </si>
  <si>
    <t>CUST1464</t>
  </si>
  <si>
    <t>Sneha Shah</t>
  </si>
  <si>
    <t>ORD0723</t>
  </si>
  <si>
    <t>CUST1108</t>
  </si>
  <si>
    <t>ORD0724</t>
  </si>
  <si>
    <t>ORD0725</t>
  </si>
  <si>
    <t>ORD0726</t>
  </si>
  <si>
    <t>ORD0727</t>
  </si>
  <si>
    <t>ORD0728</t>
  </si>
  <si>
    <t>Rohan Mishra</t>
  </si>
  <si>
    <t>ORD0729</t>
  </si>
  <si>
    <t>CUST1083</t>
  </si>
  <si>
    <t>ORD0730</t>
  </si>
  <si>
    <t>ORD0731</t>
  </si>
  <si>
    <t>ORD0732</t>
  </si>
  <si>
    <t>ORD0733</t>
  </si>
  <si>
    <t>ORD0734</t>
  </si>
  <si>
    <t>CUST1137</t>
  </si>
  <si>
    <t>ORD0735</t>
  </si>
  <si>
    <t>ORD0736</t>
  </si>
  <si>
    <t>ORD0737</t>
  </si>
  <si>
    <t>CUST1334</t>
  </si>
  <si>
    <t>ORD0738</t>
  </si>
  <si>
    <t>CUST1426</t>
  </si>
  <si>
    <t>Pooja Tiwari</t>
  </si>
  <si>
    <t>ORD0739</t>
  </si>
  <si>
    <t>ORD0740</t>
  </si>
  <si>
    <t>ORD0741</t>
  </si>
  <si>
    <t>ORD0742</t>
  </si>
  <si>
    <t>CUST1217</t>
  </si>
  <si>
    <t>ORD0743</t>
  </si>
  <si>
    <t>ORD0744</t>
  </si>
  <si>
    <t>ORD0745</t>
  </si>
  <si>
    <t>ORD0746</t>
  </si>
  <si>
    <t>ORD0747</t>
  </si>
  <si>
    <t>Aarav Iyer</t>
  </si>
  <si>
    <t>ORD0748</t>
  </si>
  <si>
    <t>ORD0749</t>
  </si>
  <si>
    <t>ORD0750</t>
  </si>
  <si>
    <t>CUST1200</t>
  </si>
  <si>
    <t>ORD0751</t>
  </si>
  <si>
    <t>ORD0752</t>
  </si>
  <si>
    <t>Aarav Pillai</t>
  </si>
  <si>
    <t>ORD0753</t>
  </si>
  <si>
    <t>ORD0754</t>
  </si>
  <si>
    <t>ORD0755</t>
  </si>
  <si>
    <t>ORD0756</t>
  </si>
  <si>
    <t>ORD0757</t>
  </si>
  <si>
    <t>CUST1009</t>
  </si>
  <si>
    <t>Pooja Kumar</t>
  </si>
  <si>
    <t>ORD0758</t>
  </si>
  <si>
    <t>Sneha Gupta</t>
  </si>
  <si>
    <t>ORD0759</t>
  </si>
  <si>
    <t>CUST1077</t>
  </si>
  <si>
    <t>ORD0760</t>
  </si>
  <si>
    <t>ORD0761</t>
  </si>
  <si>
    <t>CUST1149</t>
  </si>
  <si>
    <t>ORD0762</t>
  </si>
  <si>
    <t>ORD0763</t>
  </si>
  <si>
    <t>ORD0764</t>
  </si>
  <si>
    <t>ORD0765</t>
  </si>
  <si>
    <t>ORD0766</t>
  </si>
  <si>
    <t>ORD0767</t>
  </si>
  <si>
    <t>ORD0768</t>
  </si>
  <si>
    <t>CUST1357</t>
  </si>
  <si>
    <t>ORD0769</t>
  </si>
  <si>
    <t>ORD0770</t>
  </si>
  <si>
    <t>CUST1081</t>
  </si>
  <si>
    <t>Aarav Sharma</t>
  </si>
  <si>
    <t>ORD0771</t>
  </si>
  <si>
    <t>Pooja Gupta</t>
  </si>
  <si>
    <t>ORD0772</t>
  </si>
  <si>
    <t>ORD0773</t>
  </si>
  <si>
    <t>ORD0774</t>
  </si>
  <si>
    <t>ORD0775</t>
  </si>
  <si>
    <t>ORD0776</t>
  </si>
  <si>
    <t>CUST1250</t>
  </si>
  <si>
    <t>ORD0777</t>
  </si>
  <si>
    <t>ORD0778</t>
  </si>
  <si>
    <t>ORD0779</t>
  </si>
  <si>
    <t>CUST1248</t>
  </si>
  <si>
    <t>Aarav Reddy</t>
  </si>
  <si>
    <t>ORD0780</t>
  </si>
  <si>
    <t>ORD0781</t>
  </si>
  <si>
    <t>CUST1172</t>
  </si>
  <si>
    <t>ORD0782</t>
  </si>
  <si>
    <t>ORD0783</t>
  </si>
  <si>
    <t>ORD0784</t>
  </si>
  <si>
    <t>Deepa Patel</t>
  </si>
  <si>
    <t>ORD0785</t>
  </si>
  <si>
    <t>CUST1243</t>
  </si>
  <si>
    <t>ORD0786</t>
  </si>
  <si>
    <t>ORD0787</t>
  </si>
  <si>
    <t>CUST1011</t>
  </si>
  <si>
    <t>ORD0788</t>
  </si>
  <si>
    <t>ORD0789</t>
  </si>
  <si>
    <t>ORD0790</t>
  </si>
  <si>
    <t>ORD0791</t>
  </si>
  <si>
    <t>ORD0792</t>
  </si>
  <si>
    <t>CUST1208</t>
  </si>
  <si>
    <t>ORD0793</t>
  </si>
  <si>
    <t>ORD0794</t>
  </si>
  <si>
    <t>ORD0795</t>
  </si>
  <si>
    <t>ORD0796</t>
  </si>
  <si>
    <t>ORD0797</t>
  </si>
  <si>
    <t>CUST1062</t>
  </si>
  <si>
    <t>ORD0798</t>
  </si>
  <si>
    <t>CUST1325</t>
  </si>
  <si>
    <t>Rahul Das</t>
  </si>
  <si>
    <t>ORD0799</t>
  </si>
  <si>
    <t>CUST1354</t>
  </si>
  <si>
    <t>ORD0800</t>
  </si>
  <si>
    <t>CUST1390</t>
  </si>
  <si>
    <t>Vijay Mishra</t>
  </si>
  <si>
    <t>ORD0801</t>
  </si>
  <si>
    <t>Vijay Khanna</t>
  </si>
  <si>
    <t>ORD0802</t>
  </si>
  <si>
    <t>ORD0803</t>
  </si>
  <si>
    <t>CUST1367</t>
  </si>
  <si>
    <t>ORD0804</t>
  </si>
  <si>
    <t>CUST1420</t>
  </si>
  <si>
    <t>Vijay Gupta</t>
  </si>
  <si>
    <t>ORD0805</t>
  </si>
  <si>
    <t>ORD0806</t>
  </si>
  <si>
    <t>CUST1438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</si>
  <si>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</si>
  <si>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</si>
  <si>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</si>
  <si>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</si>
  <si>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</si>
  <si>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</si>
  <si>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</si>
  <si>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</si>
  <si>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CUST1435</t>
  </si>
  <si>
    <t>ORD0815</t>
  </si>
  <si>
    <t>CUST1237</t>
  </si>
  <si>
    <t>ORD0816</t>
  </si>
  <si>
    <t>Anjali Patel</t>
  </si>
  <si>
    <t>ORD0817</t>
  </si>
  <si>
    <t>ORD0818</t>
  </si>
  <si>
    <t>ORD0819</t>
  </si>
  <si>
    <t>ORD0820</t>
  </si>
  <si>
    <t>ORD0821</t>
  </si>
  <si>
    <t>CUST1296</t>
  </si>
  <si>
    <t>Manish Joshi</t>
  </si>
  <si>
    <t>ORD0822</t>
  </si>
  <si>
    <t>ORD0823</t>
  </si>
  <si>
    <t>ORD0824</t>
  </si>
  <si>
    <t>Manish Shah</t>
  </si>
  <si>
    <t>ORD0825</t>
  </si>
  <si>
    <t>ORD0826</t>
  </si>
  <si>
    <t>ORD0827</t>
  </si>
  <si>
    <t>CUST1269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</si>
  <si>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</si>
  <si>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</si>
  <si>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</si>
  <si>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</si>
  <si>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</si>
  <si>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</si>
  <si>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</si>
  <si>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</si>
  <si>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</si>
  <si>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</si>
  <si>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CUST1100</t>
  </si>
  <si>
    <t>ORD0838</t>
  </si>
  <si>
    <t>ORD0839</t>
  </si>
  <si>
    <t>CUST1116</t>
  </si>
  <si>
    <t>ORD0840</t>
  </si>
  <si>
    <t>ORD0841</t>
  </si>
  <si>
    <t>ORD0842</t>
  </si>
  <si>
    <t>ORD0843</t>
  </si>
  <si>
    <t>ORD0844</t>
  </si>
  <si>
    <t>CUST1168</t>
  </si>
  <si>
    <t>ORD0845</t>
  </si>
  <si>
    <t>Kavita Sharma</t>
  </si>
  <si>
    <t>ORD0846</t>
  </si>
  <si>
    <t>ORD0847</t>
  </si>
  <si>
    <t>ORD0848</t>
  </si>
  <si>
    <t>CUST1418</t>
  </si>
  <si>
    <t>ORD0849</t>
  </si>
  <si>
    <t>ORD0850</t>
  </si>
  <si>
    <t>CUST1020</t>
  </si>
  <si>
    <t>ORD0851</t>
  </si>
  <si>
    <t>ORD0852</t>
  </si>
  <si>
    <t>CUST1122</t>
  </si>
  <si>
    <t>ORD0853</t>
  </si>
  <si>
    <t>CUST1039</t>
  </si>
  <si>
    <t>ORD0854</t>
  </si>
  <si>
    <t>ORD0855</t>
  </si>
  <si>
    <t>ORD0856</t>
  </si>
  <si>
    <t>Kavita Kumar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</si>
  <si>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</si>
  <si>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</si>
  <si>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</si>
  <si>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</si>
  <si>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</si>
  <si>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</si>
  <si>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</si>
  <si>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</si>
  <si>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</si>
  <si>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</si>
  <si>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</si>
  <si>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CUST1063</t>
  </si>
  <si>
    <t>ORD0868</t>
  </si>
  <si>
    <t>Vijay Iyer</t>
  </si>
  <si>
    <t>ORD0869</t>
  </si>
  <si>
    <t>Vivaan Tiwari</t>
  </si>
  <si>
    <t>ORD0870</t>
  </si>
  <si>
    <t>CUST1276</t>
  </si>
  <si>
    <t>ORD0871</t>
  </si>
  <si>
    <t>ORD0872</t>
  </si>
  <si>
    <t>ORD0873</t>
  </si>
  <si>
    <t>ORD0874</t>
  </si>
  <si>
    <t>CUST1184</t>
  </si>
  <si>
    <t>ORD0875</t>
  </si>
  <si>
    <t>ORD0876</t>
  </si>
  <si>
    <t>ORD0877</t>
  </si>
  <si>
    <t>ORD0878</t>
  </si>
  <si>
    <t>ORD0879</t>
  </si>
  <si>
    <t>ORD0880</t>
  </si>
  <si>
    <t>ORD0881</t>
  </si>
  <si>
    <t>CUST1014</t>
  </si>
  <si>
    <t>ORD0882</t>
  </si>
  <si>
    <t>ORD0883</t>
  </si>
  <si>
    <t>CUST1256</t>
  </si>
  <si>
    <t>ORD0884</t>
  </si>
  <si>
    <t>ORD0885</t>
  </si>
  <si>
    <t>ORD0886</t>
  </si>
  <si>
    <t>ORD0887</t>
  </si>
  <si>
    <t>ORD0888</t>
  </si>
  <si>
    <t>Manish Singh</t>
  </si>
  <si>
    <t>ORD0889</t>
  </si>
  <si>
    <t>ORD0890</t>
  </si>
  <si>
    <t>ORD0891</t>
  </si>
  <si>
    <t>ORD0892</t>
  </si>
  <si>
    <t>ORD0893</t>
  </si>
  <si>
    <t>ORD0894</t>
  </si>
  <si>
    <t>CUST1378</t>
  </si>
  <si>
    <t>ORD0895</t>
  </si>
  <si>
    <t>ORD0896</t>
  </si>
  <si>
    <t>Diya Bhat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</si>
  <si>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</si>
  <si>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</si>
  <si>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</si>
  <si>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</si>
  <si>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</si>
  <si>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</si>
  <si>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</si>
  <si>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</si>
  <si>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CUST1434</t>
  </si>
  <si>
    <t>ORD0905</t>
  </si>
  <si>
    <t>ORD0906</t>
  </si>
  <si>
    <t>ORD0907</t>
  </si>
  <si>
    <t>ORD0908</t>
  </si>
  <si>
    <t>Priya Agarwal</t>
  </si>
  <si>
    <t>ORD0909</t>
  </si>
  <si>
    <t>ORD0910</t>
  </si>
  <si>
    <t>ORD0911</t>
  </si>
  <si>
    <t>CUST1206</t>
  </si>
  <si>
    <t>ORD0912</t>
  </si>
  <si>
    <t>ORD0913</t>
  </si>
  <si>
    <t>ORD0914</t>
  </si>
  <si>
    <t>ORD0915</t>
  </si>
  <si>
    <t>ORD0916</t>
  </si>
  <si>
    <t>CUST1459</t>
  </si>
  <si>
    <t>Diya Nair</t>
  </si>
  <si>
    <t>ORD0917</t>
  </si>
  <si>
    <t>ORD0918</t>
  </si>
  <si>
    <t>ORD0919</t>
  </si>
  <si>
    <t>ORD0920</t>
  </si>
  <si>
    <t>Vivaan Iyer</t>
  </si>
  <si>
    <t>ORD0921</t>
  </si>
  <si>
    <t>ORD0922</t>
  </si>
  <si>
    <t>Rahul Pillai</t>
  </si>
  <si>
    <t>ORD0923</t>
  </si>
  <si>
    <t>CUST1098</t>
  </si>
  <si>
    <t>ORD0924</t>
  </si>
  <si>
    <t>ORD0925</t>
  </si>
  <si>
    <t>CUST1185</t>
  </si>
  <si>
    <t>ORD0926</t>
  </si>
  <si>
    <t>ORD0927</t>
  </si>
  <si>
    <t>Diya Verma</t>
  </si>
  <si>
    <t>ORD0928</t>
  </si>
  <si>
    <t>ORD0929</t>
  </si>
  <si>
    <t>Manish Kumar</t>
  </si>
  <si>
    <t>ORD0930</t>
  </si>
  <si>
    <t>ORD0931</t>
  </si>
  <si>
    <t>ORD0932</t>
  </si>
  <si>
    <t>CUST1043</t>
  </si>
  <si>
    <t>ORD0933</t>
  </si>
  <si>
    <t>Deepa Gupta</t>
  </si>
  <si>
    <t>ORD0934</t>
  </si>
  <si>
    <t>ORD0935</t>
  </si>
  <si>
    <t>ORD0936</t>
  </si>
  <si>
    <t>ORD0937</t>
  </si>
  <si>
    <t>CUST1291</t>
  </si>
  <si>
    <t>ORD0938</t>
  </si>
  <si>
    <t>Arun Joshi</t>
  </si>
  <si>
    <t>ORD0939</t>
  </si>
  <si>
    <t>ORD0940</t>
  </si>
  <si>
    <t>ORD0941</t>
  </si>
  <si>
    <t>CUST1055</t>
  </si>
  <si>
    <t>ORD0942</t>
  </si>
  <si>
    <t>ORD0943</t>
  </si>
  <si>
    <t>ORD0944</t>
  </si>
  <si>
    <t>ORD0945</t>
  </si>
  <si>
    <t>ORD0946</t>
  </si>
  <si>
    <t>ORD0947</t>
  </si>
  <si>
    <t>ORD0948</t>
  </si>
  <si>
    <t>CUST1019</t>
  </si>
  <si>
    <t>ORD0949</t>
  </si>
  <si>
    <t>ORD0950</t>
  </si>
  <si>
    <t>ORD0951</t>
  </si>
  <si>
    <t>ORD0952</t>
  </si>
  <si>
    <t>ORD0953</t>
  </si>
  <si>
    <t>Anjali Shah</t>
  </si>
  <si>
    <t>ORD0954</t>
  </si>
  <si>
    <t>ORD0955</t>
  </si>
  <si>
    <t>Kiran Mishra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</si>
  <si>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</si>
  <si>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</si>
  <si>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</si>
  <si>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</si>
  <si>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</si>
  <si>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</si>
  <si>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</si>
  <si>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</si>
  <si>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</si>
  <si>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</si>
  <si>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CUST1352</t>
  </si>
  <si>
    <t>ORD0966</t>
  </si>
  <si>
    <t>ORD0967</t>
  </si>
  <si>
    <t>Priya Iyer</t>
  </si>
  <si>
    <t>ORD0968</t>
  </si>
  <si>
    <t>Ananya Reddy</t>
  </si>
  <si>
    <t>ORD0969</t>
  </si>
  <si>
    <t>Aarav Khanna</t>
  </si>
  <si>
    <t>ORD0970</t>
  </si>
  <si>
    <t>ORD0971</t>
  </si>
  <si>
    <t>ORD0972</t>
  </si>
  <si>
    <t>ORD0973</t>
  </si>
  <si>
    <t>CUST1261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</si>
  <si>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</si>
  <si>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</si>
  <si>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</si>
  <si>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</si>
  <si>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</si>
  <si>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</si>
  <si>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</si>
  <si>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</si>
  <si>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</si>
  <si>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</si>
  <si>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</si>
  <si>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</si>
  <si>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</si>
  <si>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</si>
  <si>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</si>
  <si>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</si>
  <si>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</si>
  <si>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</si>
  <si>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</si>
  <si>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CUST1326</t>
  </si>
  <si>
    <t>ORD0993</t>
  </si>
  <si>
    <t>ORD0994</t>
  </si>
  <si>
    <t>CUST1066</t>
  </si>
  <si>
    <t>ORD0995</t>
  </si>
  <si>
    <t>ORD0996</t>
  </si>
  <si>
    <t>ORD0997</t>
  </si>
  <si>
    <t>ORD0998</t>
  </si>
  <si>
    <t>ORD0999</t>
  </si>
  <si>
    <t>ORD1000</t>
  </si>
  <si>
    <t>Profit Margin %</t>
  </si>
  <si>
    <t>Sum of Net_Sales</t>
  </si>
  <si>
    <t>Row Labels</t>
  </si>
  <si>
    <t>Grand Total</t>
  </si>
  <si>
    <t xml:space="preserve">Bangalore city net sales </t>
  </si>
  <si>
    <t xml:space="preserve">Total Profit for Sports </t>
  </si>
  <si>
    <t>Net_Sales for Delivered orders</t>
  </si>
  <si>
    <t>Net_Sales for Electronics in Bangalore</t>
  </si>
  <si>
    <t xml:space="preserve">Net sales of Electronics </t>
  </si>
  <si>
    <t>Order_type</t>
  </si>
  <si>
    <t>Order_Segment</t>
  </si>
  <si>
    <t>Count of High value</t>
  </si>
  <si>
    <t>Count of Low value</t>
  </si>
  <si>
    <t>Premiun</t>
  </si>
  <si>
    <t>High</t>
  </si>
  <si>
    <t>Medium</t>
  </si>
  <si>
    <t>Low</t>
  </si>
  <si>
    <t>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</si>
</sst>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43" fontId="0" fillId="0" borderId="0" xfId="0" applyNumberFormat="1"/>
    <xf numFmtId="9" fontId="0" fillId="0" borderId="0" xfId="2" applyFont="1"/>
    <xf numFmtId="0" fontId="0" fillId="0" borderId="0" xfId="0" applyAlignment="1">
      <alignment horizontal="left" indent="1"/>
    </xf>
    <xf numFmtId="43" fontId="16" fillId="0" borderId="0" xfId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11"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aj S P" refreshedDate="46152.359287962965" createdVersion="8" refreshedVersion="8" minRefreshableVersion="3" recordCount="1000" xr:uid="{A41CF7EA-2C8F-4C1F-A5FE-72F8C57274E1}">
  <cacheSource type="worksheet">
    <worksheetSource ref="A1:O1001" sheet="RetailSales_Dataset"/>
  </cacheSource>
  <cacheFields count="15">
    <cacheField name="Order_ID" numFmtId="0">
      <sharedItems/>
    </cacheField>
    <cacheField name="Order_Date" numFmtId="14">
      <sharedItems containsSemiMixedTypes="0" containsNonDate="0" containsDate="1" containsString="0" minDate="2023-01-01T00:00:00" maxDate="2024-01-01T00:00:00"/>
    </cacheField>
    <cacheField name="Customer_ID" numFmtId="0">
      <sharedItems/>
    </cacheField>
    <cacheField name="Customer_Name" numFmtId="0">
      <sharedItems/>
    </cacheField>
    <cacheField name="City" numFmtId="0">
      <sharedItems count="8">
        <s v="Mumbai"/>
        <s v="Kolkata"/>
        <s v="Chennai"/>
        <s v="Pune"/>
        <s v="Ahmedabad"/>
        <s v="Bangalore"/>
        <s v="Hyderabad"/>
        <s v="Delhi"/>
      </sharedItems>
    </cacheField>
    <cacheField name="Category" numFmtId="0">
      <sharedItems count="7">
        <s v="Electronics"/>
        <s v="Groceries"/>
        <s v="Furniture"/>
        <s v="Books"/>
        <s v="Beauty"/>
        <s v="Clothing"/>
        <s v="Sports"/>
      </sharedItems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90" maxValue="55000"/>
    </cacheField>
    <cacheField name="Discount_Pct" numFmtId="0">
      <sharedItems containsSemiMixedTypes="0" containsString="0" containsNumber="1" containsInteger="1" minValue="0" maxValue="25"/>
    </cacheField>
    <cacheField name="Discount_Amt" numFmtId="0">
      <sharedItems containsSemiMixedTypes="0" containsString="0" containsNumber="1" minValue="0" maxValue="68750"/>
    </cacheField>
    <cacheField name="Net_Sales" numFmtId="0">
      <sharedItems containsSemiMixedTypes="0" containsString="0" containsNumber="1" minValue="67.5" maxValue="275000"/>
    </cacheField>
    <cacheField name="Profit" numFmtId="0">
      <sharedItems containsSemiMixedTypes="0" containsString="0" containsNumber="1" minValue="3.95" maxValue="77611.3" count="996">
        <n v="6000.21"/>
        <n v="6894.95"/>
        <n v="98.59"/>
        <n v="5304.15"/>
        <n v="401.77"/>
        <n v="334.17"/>
        <n v="48.1"/>
        <n v="187.79"/>
        <n v="29783.19"/>
        <n v="1287.71"/>
        <n v="678.33"/>
        <n v="18494.03"/>
        <n v="8739.76"/>
        <n v="175.48"/>
        <n v="5921.21"/>
        <n v="115.26"/>
        <n v="2221.08"/>
        <n v="605.29"/>
        <n v="2757.33"/>
        <n v="1274.4000000000001"/>
        <n v="307.42"/>
        <n v="849.55"/>
        <n v="1469.95"/>
        <n v="2674.76"/>
        <n v="30183.19"/>
        <n v="1474.63"/>
        <n v="2197.09"/>
        <n v="106.3"/>
        <n v="316.94"/>
        <n v="100.25"/>
        <n v="11260.73"/>
        <n v="96.11"/>
        <n v="100.49"/>
        <n v="226.25"/>
        <n v="76.69"/>
        <n v="4173.66"/>
        <n v="208.34"/>
        <n v="144.27000000000001"/>
        <n v="1897.06"/>
        <n v="407.81"/>
        <n v="581.22"/>
        <n v="153.65"/>
        <n v="168.34"/>
        <n v="5585.6"/>
        <n v="4212.87"/>
        <n v="53666.15"/>
        <n v="368.3"/>
        <n v="550.70000000000005"/>
        <n v="4340.6099999999997"/>
        <n v="4912.97"/>
        <n v="17233.16"/>
        <n v="5127.7299999999996"/>
        <n v="287.58999999999997"/>
        <n v="2307.83"/>
        <n v="7964.8"/>
        <n v="1057.0999999999999"/>
        <n v="1399.89"/>
        <n v="288.14"/>
        <n v="1990.31"/>
        <n v="13563.6"/>
        <n v="797.41"/>
        <n v="97.18"/>
        <n v="395.35"/>
        <n v="169.03"/>
        <n v="2669.38"/>
        <n v="1839.96"/>
        <n v="1121.3499999999999"/>
        <n v="127.79"/>
        <n v="380.46"/>
        <n v="78.010000000000005"/>
        <n v="374.18"/>
        <n v="4152.8900000000003"/>
        <n v="152.19999999999999"/>
        <n v="2527.81"/>
        <n v="87.33"/>
        <n v="165.11"/>
        <n v="340.54"/>
        <n v="667.75"/>
        <n v="3328.73"/>
        <n v="8121.26"/>
        <n v="9400.2099999999991"/>
        <n v="25.47"/>
        <n v="801.14"/>
        <n v="58605.57"/>
        <n v="105.59"/>
        <n v="726.65"/>
        <n v="9192.77"/>
        <n v="3188.98"/>
        <n v="516.1"/>
        <n v="783.94"/>
        <n v="243.02"/>
        <n v="47.55"/>
        <n v="2047.49"/>
        <n v="5002.38"/>
        <n v="21.23"/>
        <n v="178.99"/>
        <n v="6606.51"/>
        <n v="4103.1899999999996"/>
        <n v="11612.36"/>
        <n v="28.06"/>
        <n v="430"/>
        <n v="68.86"/>
        <n v="1223.2"/>
        <n v="184.09"/>
        <n v="12.28"/>
        <n v="630.54"/>
        <n v="91.93"/>
        <n v="438.75"/>
        <n v="1696.76"/>
        <n v="45.75"/>
        <n v="4445.74"/>
        <n v="1778.05"/>
        <n v="198.65"/>
        <n v="14524.55"/>
        <n v="256.47000000000003"/>
        <n v="2783.42"/>
        <n v="31669.84"/>
        <n v="1563.63"/>
        <n v="237.72"/>
        <n v="194.7"/>
        <n v="1694.28"/>
        <n v="159.35"/>
        <n v="1272.76"/>
        <n v="335.04"/>
        <n v="13924.39"/>
        <n v="230.9"/>
        <n v="908.19"/>
        <n v="680.38"/>
        <n v="861.81"/>
        <n v="4178.25"/>
        <n v="3647.22"/>
        <n v="4455.3900000000003"/>
        <n v="1856.03"/>
        <n v="194.71"/>
        <n v="18.41"/>
        <n v="13533.16"/>
        <n v="9210.75"/>
        <n v="2555.6999999999998"/>
        <n v="150.59"/>
        <n v="1440.09"/>
        <n v="437.01"/>
        <n v="24.68"/>
        <n v="5665.55"/>
        <n v="178.86"/>
        <n v="52.16"/>
        <n v="90"/>
        <n v="3697.63"/>
        <n v="713.53"/>
        <n v="200.29"/>
        <n v="2543.9899999999998"/>
        <n v="1496.85"/>
        <n v="1364.09"/>
        <n v="1170.6600000000001"/>
        <n v="15415.08"/>
        <n v="58.5"/>
        <n v="1225.81"/>
        <n v="826.53"/>
        <n v="481.21"/>
        <n v="181.51"/>
        <n v="138.03"/>
        <n v="153.47"/>
        <n v="3635.81"/>
        <n v="5487.51"/>
        <n v="26.71"/>
        <n v="7128.68"/>
        <n v="202.34"/>
        <n v="1920.63"/>
        <n v="617.07000000000005"/>
        <n v="1763.18"/>
        <n v="606.03"/>
        <n v="70.97"/>
        <n v="2215.13"/>
        <n v="249.46"/>
        <n v="5973.78"/>
        <n v="38.29"/>
        <n v="342.05"/>
        <n v="6383.66"/>
        <n v="19872.46"/>
        <n v="387.57"/>
        <n v="6805.86"/>
        <n v="196.13"/>
        <n v="14194.54"/>
        <n v="242.65"/>
        <n v="1621.03"/>
        <n v="596.79999999999995"/>
        <n v="583.11"/>
        <n v="276.58999999999997"/>
        <n v="699.5"/>
        <n v="355.06"/>
        <n v="12991.58"/>
        <n v="84.49"/>
        <n v="801.43"/>
        <n v="196.72"/>
        <n v="870.37"/>
        <n v="117.15"/>
        <n v="209.46"/>
        <n v="1250.68"/>
        <n v="5194.55"/>
        <n v="572.14"/>
        <n v="109.6"/>
        <n v="61.42"/>
        <n v="564.72"/>
        <n v="3094.56"/>
        <n v="310.97000000000003"/>
        <n v="110.81"/>
        <n v="13752.03"/>
        <n v="149.76"/>
        <n v="2633.93"/>
        <n v="1165.8599999999999"/>
        <n v="259.56"/>
        <n v="943.46"/>
        <n v="16370.61"/>
        <n v="64.319999999999993"/>
        <n v="743.34"/>
        <n v="687.5"/>
        <n v="77.66"/>
        <n v="400.82"/>
        <n v="731.82"/>
        <n v="2012.86"/>
        <n v="152.88999999999999"/>
        <n v="337.34"/>
        <n v="570.66"/>
        <n v="345.72"/>
        <n v="3061.15"/>
        <n v="206.56"/>
        <n v="159.66999999999999"/>
        <n v="225.18"/>
        <n v="193.67"/>
        <n v="9923.5499999999993"/>
        <n v="3132.4"/>
        <n v="1280.4000000000001"/>
        <n v="65.540000000000006"/>
        <n v="95.37"/>
        <n v="810.83"/>
        <n v="459.42"/>
        <n v="10455.85"/>
        <n v="177.07"/>
        <n v="5112.84"/>
        <n v="296.73"/>
        <n v="20.21"/>
        <n v="39.9"/>
        <n v="577.63"/>
        <n v="1012.06"/>
        <n v="2122.67"/>
        <n v="102.66"/>
        <n v="98.01"/>
        <n v="1327.48"/>
        <n v="4324.6000000000004"/>
        <n v="43.05"/>
        <n v="64.13"/>
        <n v="3148.17"/>
        <n v="74.42"/>
        <n v="136.43"/>
        <n v="1343.61"/>
        <n v="2330.5300000000002"/>
        <n v="2878.03"/>
        <n v="105.71"/>
        <n v="35.729999999999997"/>
        <n v="2401.6799999999998"/>
        <n v="1162.8900000000001"/>
        <n v="3788.22"/>
        <n v="567.33000000000004"/>
        <n v="705.16"/>
        <n v="855.25"/>
        <n v="5905.63"/>
        <n v="2099.2399999999998"/>
        <n v="122.96"/>
        <n v="7363.91"/>
        <n v="168.96"/>
        <n v="10420.69"/>
        <n v="32.19"/>
        <n v="101.11"/>
        <n v="4780.38"/>
        <n v="166.57"/>
        <n v="176.38"/>
        <n v="773.2"/>
        <n v="1983.11"/>
        <n v="17286.36"/>
        <n v="5.26"/>
        <n v="710.25"/>
        <n v="19.97"/>
        <n v="3873.87"/>
        <n v="1182.32"/>
        <n v="1602.86"/>
        <n v="142.41999999999999"/>
        <n v="1669.83"/>
        <n v="102.93"/>
        <n v="752.99"/>
        <n v="50600.52"/>
        <n v="702.29"/>
        <n v="215.3"/>
        <n v="51.46"/>
        <n v="7830.51"/>
        <n v="949.34"/>
        <n v="5841.06"/>
        <n v="17848.38"/>
        <n v="4786.25"/>
        <n v="167.45"/>
        <n v="112.07"/>
        <n v="272.72000000000003"/>
        <n v="3239.6"/>
        <n v="1333.29"/>
        <n v="77.930000000000007"/>
        <n v="92.25"/>
        <n v="31.78"/>
        <n v="4505.78"/>
        <n v="2863.83"/>
        <n v="119.44"/>
        <n v="627.57000000000005"/>
        <n v="96.89"/>
        <n v="771.48"/>
        <n v="7025.24"/>
        <n v="935.71"/>
        <n v="736.84"/>
        <n v="440.16"/>
        <n v="210.81"/>
        <n v="4184.74"/>
        <n v="4079.92"/>
        <n v="48.66"/>
        <n v="212.32"/>
        <n v="1166.21"/>
        <n v="365.35"/>
        <n v="13157.78"/>
        <n v="67065.740000000005"/>
        <n v="490.65"/>
        <n v="447.41"/>
        <n v="583.75"/>
        <n v="4135.92"/>
        <n v="61.3"/>
        <n v="4221.5"/>
        <n v="3532.19"/>
        <n v="758.73"/>
        <n v="266.83999999999997"/>
        <n v="52.87"/>
        <n v="9662.6"/>
        <n v="256.43"/>
        <n v="267.55"/>
        <n v="61.91"/>
        <n v="137.49"/>
        <n v="572.89"/>
        <n v="566.70000000000005"/>
        <n v="155"/>
        <n v="41.61"/>
        <n v="454.06"/>
        <n v="765.82"/>
        <n v="498.98"/>
        <n v="175.07"/>
        <n v="144.83000000000001"/>
        <n v="194.93"/>
        <n v="165.17"/>
        <n v="324.35000000000002"/>
        <n v="97.63"/>
        <n v="601.09"/>
        <n v="324.33999999999997"/>
        <n v="1223.52"/>
        <n v="1462.58"/>
        <n v="814.06"/>
        <n v="1161.8900000000001"/>
        <n v="4746.04"/>
        <n v="3778.86"/>
        <n v="77.510000000000005"/>
        <n v="555.4"/>
        <n v="1107.3699999999999"/>
        <n v="1901.36"/>
        <n v="1146.6300000000001"/>
        <n v="108.16"/>
        <n v="712.41"/>
        <n v="5343.7"/>
        <n v="140.88999999999999"/>
        <n v="150.24"/>
        <n v="2668.71"/>
        <n v="181.25"/>
        <n v="564.07000000000005"/>
        <n v="221.07"/>
        <n v="762.95"/>
        <n v="8749.59"/>
        <n v="21440.15"/>
        <n v="889.39"/>
        <n v="57.56"/>
        <n v="1375.2"/>
        <n v="127.41"/>
        <n v="44.88"/>
        <n v="619.95000000000005"/>
        <n v="2208.0300000000002"/>
        <n v="1618.69"/>
        <n v="619.33000000000004"/>
        <n v="484.38"/>
        <n v="858.31"/>
        <n v="1701.73"/>
        <n v="1030.3399999999999"/>
        <n v="6269.39"/>
        <n v="223.34"/>
        <n v="354.81"/>
        <n v="773.11"/>
        <n v="576.9"/>
        <n v="769.72"/>
        <n v="148.62"/>
        <n v="690.8"/>
        <n v="24659.73"/>
        <n v="4017.22"/>
        <n v="196.71"/>
        <n v="927.78"/>
        <n v="24.58"/>
        <n v="432.59"/>
        <n v="909.39"/>
        <n v="93.65"/>
        <n v="97.43"/>
        <n v="7631.34"/>
        <n v="434.29"/>
        <n v="662.55"/>
        <n v="2443.1"/>
        <n v="6046.9"/>
        <n v="3097.78"/>
        <n v="7044.58"/>
        <n v="9009.93"/>
        <n v="263.56"/>
        <n v="193.8"/>
        <n v="17675.919999999998"/>
        <n v="633.05999999999995"/>
        <n v="147.44999999999999"/>
        <n v="12.43"/>
        <n v="179.56"/>
        <n v="866.84"/>
        <n v="104.4"/>
        <n v="3363.76"/>
        <n v="4030.18"/>
        <n v="326.72000000000003"/>
        <n v="4852.82"/>
        <n v="90.21"/>
        <n v="89.39"/>
        <n v="1204.57"/>
        <n v="450.24"/>
        <n v="22.16"/>
        <n v="561.28"/>
        <n v="244.55"/>
        <n v="2123.3200000000002"/>
        <n v="255.17"/>
        <n v="1459.04"/>
        <n v="1318.88"/>
        <n v="4962.87"/>
        <n v="62.68"/>
        <n v="4636.9799999999996"/>
        <n v="297.74"/>
        <n v="37225.82"/>
        <n v="1173.04"/>
        <n v="228.63"/>
        <n v="2088.8000000000002"/>
        <n v="6922.41"/>
        <n v="648.45000000000005"/>
        <n v="119.69"/>
        <n v="262.95"/>
        <n v="1084.31"/>
        <n v="264.38"/>
        <n v="2511.88"/>
        <n v="405.79"/>
        <n v="714.29"/>
        <n v="310.51"/>
        <n v="1903.62"/>
        <n v="742.65"/>
        <n v="6849.07"/>
        <n v="2666.72"/>
        <n v="1891.29"/>
        <n v="38.21"/>
        <n v="241.17"/>
        <n v="12405.06"/>
        <n v="100.61"/>
        <n v="5537.76"/>
        <n v="594.02"/>
        <n v="237.28"/>
        <n v="783.87"/>
        <n v="360.85"/>
        <n v="442.4"/>
        <n v="471.21"/>
        <n v="90.11"/>
        <n v="2316.38"/>
        <n v="342.16"/>
        <n v="15030.64"/>
        <n v="1236.03"/>
        <n v="423.4"/>
        <n v="73.209999999999994"/>
        <n v="822.36"/>
        <n v="513.11"/>
        <n v="561.85"/>
        <n v="49.25"/>
        <n v="47.58"/>
        <n v="30"/>
        <n v="3453.55"/>
        <n v="207.01"/>
        <n v="620.79999999999995"/>
        <n v="1087.1099999999999"/>
        <n v="2180.16"/>
        <n v="441.74"/>
        <n v="1550.26"/>
        <n v="176.03"/>
        <n v="300.07"/>
        <n v="1614.15"/>
        <n v="335.06"/>
        <n v="933.42"/>
        <n v="195.22"/>
        <n v="407.76"/>
        <n v="107.42"/>
        <n v="52.83"/>
        <n v="607.1"/>
        <n v="260.11"/>
        <n v="3502.18"/>
        <n v="713.27"/>
        <n v="59.28"/>
        <n v="2196.52"/>
        <n v="1111.42"/>
        <n v="88.44"/>
        <n v="78.14"/>
        <n v="2161.5"/>
        <n v="541.95000000000005"/>
        <n v="581.97"/>
        <n v="246.27"/>
        <n v="1660.49"/>
        <n v="330.6"/>
        <n v="38.65"/>
        <n v="2185.4499999999998"/>
        <n v="137.22"/>
        <n v="1319.26"/>
        <n v="344.1"/>
        <n v="1038.03"/>
        <n v="4574.37"/>
        <n v="1204.6600000000001"/>
        <n v="5545.22"/>
        <n v="466.54"/>
        <n v="540.01"/>
        <n v="48.81"/>
        <n v="503.88"/>
        <n v="1656.18"/>
        <n v="12129.56"/>
        <n v="1630.97"/>
        <n v="513.49"/>
        <n v="653.95000000000005"/>
        <n v="3486.48"/>
        <n v="107.9"/>
        <n v="625.05999999999995"/>
        <n v="457.01"/>
        <n v="432.01"/>
        <n v="399.94"/>
        <n v="101.24"/>
        <n v="20095.57"/>
        <n v="324.02999999999997"/>
        <n v="96.37"/>
        <n v="881.47"/>
        <n v="13575.53"/>
        <n v="224.67"/>
        <n v="3824.73"/>
        <n v="7803.74"/>
        <n v="449.53"/>
        <n v="1924.47"/>
        <n v="245.05"/>
        <n v="6.86"/>
        <n v="43.59"/>
        <n v="179.03"/>
        <n v="588.94000000000005"/>
        <n v="641.34"/>
        <n v="377.08"/>
        <n v="1302.78"/>
        <n v="4953.2299999999996"/>
        <n v="182.77"/>
        <n v="317.99"/>
        <n v="3842.47"/>
        <n v="14735.68"/>
        <n v="179.12"/>
        <n v="620.38"/>
        <n v="3341.73"/>
        <n v="6346.13"/>
        <n v="427.63"/>
        <n v="1706.58"/>
        <n v="903.89"/>
        <n v="249.21"/>
        <n v="203.36"/>
        <n v="7126.38"/>
        <n v="444.5"/>
        <n v="272.17"/>
        <n v="126.16"/>
        <n v="331.47"/>
        <n v="1712.59"/>
        <n v="786.35"/>
        <n v="139.80000000000001"/>
        <n v="785.65"/>
        <n v="186.24"/>
        <n v="1546.62"/>
        <n v="710.87"/>
        <n v="503.55"/>
        <n v="273.22000000000003"/>
        <n v="553.98"/>
        <n v="29.42"/>
        <n v="520.4"/>
        <n v="605.89"/>
        <n v="3311.93"/>
        <n v="509.28"/>
        <n v="6364.83"/>
        <n v="12498.62"/>
        <n v="1092.55"/>
        <n v="7134.26"/>
        <n v="814.82"/>
        <n v="38.28"/>
        <n v="495.68"/>
        <n v="4635.3599999999997"/>
        <n v="199.25"/>
        <n v="891.61"/>
        <n v="7528.83"/>
        <n v="2699.12"/>
        <n v="2905.21"/>
        <n v="3112.25"/>
        <n v="7045.54"/>
        <n v="330.48"/>
        <n v="3726.21"/>
        <n v="265.39"/>
        <n v="650.20000000000005"/>
        <n v="77611.3"/>
        <n v="4107.46"/>
        <n v="694.27"/>
        <n v="407.29"/>
        <n v="364.23"/>
        <n v="301.91000000000003"/>
        <n v="25.17"/>
        <n v="255.81"/>
        <n v="2679.64"/>
        <n v="588.01"/>
        <n v="13353.7"/>
        <n v="179.95"/>
        <n v="225.77"/>
        <n v="12.78"/>
        <n v="174.81"/>
        <n v="3545.48"/>
        <n v="19.13"/>
        <n v="980.8"/>
        <n v="362.35"/>
        <n v="701.33"/>
        <n v="540.15"/>
        <n v="23.27"/>
        <n v="598.65"/>
        <n v="3268.65"/>
        <n v="268.64999999999998"/>
        <n v="58.76"/>
        <n v="796.19"/>
        <n v="134.57"/>
        <n v="421.17"/>
        <n v="79.44"/>
        <n v="2230.52"/>
        <n v="142.44"/>
        <n v="1321.75"/>
        <n v="1190.72"/>
        <n v="806.89"/>
        <n v="294.26"/>
        <n v="119.96"/>
        <n v="569.04999999999995"/>
        <n v="39166.78"/>
        <n v="7319.14"/>
        <n v="242.39"/>
        <n v="149.25"/>
        <n v="57383.56"/>
        <n v="325.36"/>
        <n v="17513.45"/>
        <n v="2722.84"/>
        <n v="61.06"/>
        <n v="308.89999999999998"/>
        <n v="1841.57"/>
        <n v="43967.7"/>
        <n v="43.31"/>
        <n v="559.72"/>
        <n v="72.87"/>
        <n v="1847.82"/>
        <n v="1744.7"/>
        <n v="2049.2199999999998"/>
        <n v="284.04000000000002"/>
        <n v="76.36"/>
        <n v="146.71"/>
        <n v="1296.18"/>
        <n v="4694.66"/>
        <n v="1867.03"/>
        <n v="284.95999999999998"/>
        <n v="383.32"/>
        <n v="9257.0499999999993"/>
        <n v="239.87"/>
        <n v="72.010000000000005"/>
        <n v="44.28"/>
        <n v="207.47"/>
        <n v="1419.03"/>
        <n v="177"/>
        <n v="200.94"/>
        <n v="329.52"/>
        <n v="2679.57"/>
        <n v="516.30999999999995"/>
        <n v="449.59"/>
        <n v="2766.79"/>
        <n v="335.3"/>
        <n v="14.19"/>
        <n v="3674.73"/>
        <n v="153.63999999999999"/>
        <n v="1370.69"/>
        <n v="284.45"/>
        <n v="348.79"/>
        <n v="1255.6500000000001"/>
        <n v="298.02999999999997"/>
        <n v="3383.04"/>
        <n v="3742.56"/>
        <n v="356.78"/>
        <n v="203.78"/>
        <n v="933.44"/>
        <n v="374.39"/>
        <n v="2022.98"/>
        <n v="571.44000000000005"/>
        <n v="2862.79"/>
        <n v="1209.77"/>
        <n v="350.8"/>
        <n v="71.260000000000005"/>
        <n v="459.92"/>
        <n v="3010.22"/>
        <n v="1089.27"/>
        <n v="4909.9399999999996"/>
        <n v="251.53"/>
        <n v="15768.06"/>
        <n v="10243.790000000001"/>
        <n v="210.75"/>
        <n v="587.11"/>
        <n v="2347.16"/>
        <n v="1332.59"/>
        <n v="9812.65"/>
        <n v="1410.23"/>
        <n v="1227.23"/>
        <n v="54320.71"/>
        <n v="219.56"/>
        <n v="21018.17"/>
        <n v="199.04"/>
        <n v="1063.46"/>
        <n v="387.53"/>
        <n v="367.9"/>
        <n v="445.2"/>
        <n v="134.66999999999999"/>
        <n v="3164.14"/>
        <n v="278.58999999999997"/>
        <n v="381.97"/>
        <n v="2972.28"/>
        <n v="14189.49"/>
        <n v="1532.23"/>
        <n v="164.58"/>
        <n v="3.95"/>
        <n v="9159.58"/>
        <n v="699.44"/>
        <n v="48160.33"/>
        <n v="494.36"/>
        <n v="459.5"/>
        <n v="1796.97"/>
        <n v="931.65"/>
        <n v="483.71"/>
        <n v="853.65"/>
        <n v="515.94000000000005"/>
        <n v="195.95"/>
        <n v="254.94"/>
        <n v="263.07"/>
        <n v="12.31"/>
        <n v="725.7"/>
        <n v="62.41"/>
        <n v="85.06"/>
        <n v="78.66"/>
        <n v="109.65"/>
        <n v="116.45"/>
        <n v="118.04"/>
        <n v="188.21"/>
        <n v="193.95"/>
        <n v="254.52"/>
        <n v="1963.91"/>
        <n v="557.89"/>
        <n v="872.91"/>
        <n v="287.83999999999997"/>
        <n v="1547.28"/>
        <n v="86.24"/>
        <n v="708.41"/>
        <n v="312.04000000000002"/>
        <n v="642.16"/>
        <n v="198.86"/>
        <n v="171.19"/>
        <n v="1332.24"/>
        <n v="101.14"/>
        <n v="11142.74"/>
        <n v="1773.34"/>
        <n v="21.4"/>
        <n v="174.77"/>
        <n v="213.21"/>
        <n v="227.17"/>
        <n v="6557.59"/>
        <n v="113.93"/>
        <n v="301.48"/>
        <n v="37.56"/>
        <n v="1692.78"/>
        <n v="19525.150000000001"/>
        <n v="58897.63"/>
        <n v="330.94"/>
        <n v="1969.56"/>
        <n v="435.93"/>
        <n v="1264.44"/>
        <n v="2627.28"/>
        <n v="616.08000000000004"/>
        <n v="2446.7800000000002"/>
        <n v="78.06"/>
        <n v="21440.66"/>
        <n v="2378.59"/>
        <n v="3715.02"/>
        <n v="814.53"/>
        <n v="267.36"/>
        <n v="972.33"/>
        <n v="342.21"/>
        <n v="4639.3"/>
        <n v="334.93"/>
        <n v="184.02"/>
        <n v="3268.06"/>
        <n v="273.72000000000003"/>
        <n v="42.02"/>
        <n v="650.15"/>
        <n v="273.99"/>
        <n v="347.04"/>
        <n v="692.52"/>
        <n v="644.64"/>
        <n v="195.13"/>
        <n v="364.03"/>
        <n v="787.59"/>
        <n v="5493.61"/>
        <n v="2866.91"/>
        <n v="57.38"/>
        <n v="179.36"/>
        <n v="182.31"/>
        <n v="104.35"/>
        <n v="1032.75"/>
        <n v="1587.33"/>
        <n v="1044.43"/>
        <n v="57.17"/>
        <n v="28270.55"/>
        <n v="16044.69"/>
        <n v="6660.37"/>
        <n v="953.76"/>
        <n v="308.26"/>
        <n v="189.22"/>
        <n v="11766.31"/>
        <n v="617.19000000000005"/>
        <n v="14616.9"/>
        <n v="2068.41"/>
        <n v="16087.42"/>
        <n v="506.5"/>
        <n v="53.54"/>
        <n v="132.07"/>
        <n v="108.35"/>
        <n v="716.11"/>
        <n v="57.78"/>
        <n v="742.21"/>
        <n v="2502.8000000000002"/>
        <n v="5577.52"/>
        <n v="113.19"/>
        <n v="14187.41"/>
        <n v="6030.1"/>
        <n v="34715.360000000001"/>
        <n v="10.86"/>
        <n v="393.37"/>
        <n v="117.53"/>
        <n v="675.77"/>
        <n v="538.99"/>
        <n v="216.87"/>
        <n v="220.95"/>
        <n v="94.16"/>
        <n v="5930.28"/>
        <n v="12218.02"/>
        <n v="19492.560000000001"/>
        <n v="91.51"/>
        <n v="181.84"/>
        <n v="18.649999999999999"/>
        <n v="171.38"/>
        <n v="841.39"/>
        <n v="1071.6300000000001"/>
        <n v="1686.52"/>
        <n v="643.19000000000005"/>
        <n v="899.82"/>
        <n v="305.45"/>
        <n v="3477.42"/>
        <n v="188.54"/>
        <n v="5010.13"/>
        <n v="255.06"/>
        <n v="3244.22"/>
        <n v="316.64"/>
        <n v="10083.040000000001"/>
        <n v="991.11"/>
        <n v="498.81"/>
        <n v="589.92999999999995"/>
        <n v="564.29"/>
        <n v="198.26"/>
        <n v="6917.18"/>
        <n v="1001.88"/>
        <n v="203.18"/>
        <n v="68.13"/>
        <n v="170.71"/>
        <n v="99.08"/>
        <n v="91.28"/>
        <n v="80.19"/>
        <n v="268.60000000000002"/>
        <n v="519.6"/>
        <n v="238.76"/>
        <n v="68.38"/>
        <n v="58.75"/>
        <n v="7227.9"/>
        <n v="235.39"/>
        <n v="8388.7800000000007"/>
        <n v="31.67"/>
        <n v="211.8"/>
        <n v="39.409999999999997"/>
        <n v="81.430000000000007"/>
        <n v="291.93"/>
        <n v="1559.08"/>
        <n v="350.55"/>
        <n v="203.77"/>
        <n v="3872.63"/>
        <n v="53.1"/>
        <n v="170.49"/>
        <n v="720.68"/>
        <n v="554.64"/>
        <n v="378.53"/>
        <n v="4763.92"/>
        <n v="1049.1199999999999"/>
        <n v="609.21"/>
        <n v="479.27"/>
        <n v="4563.2700000000004"/>
        <n v="678.71"/>
        <n v="365.42"/>
        <n v="1582.39"/>
        <n v="1518.91"/>
        <n v="108.31"/>
        <n v="63.44"/>
        <n v="4066.57"/>
        <n v="73.08"/>
        <n v="121.65"/>
        <n v="2952.06"/>
        <n v="97.71"/>
        <n v="2194.13"/>
        <n v="66.45"/>
        <n v="110.66"/>
        <n v="211.29"/>
        <n v="748.09"/>
        <n v="310.39"/>
        <n v="3781.14"/>
        <n v="278.33999999999997"/>
        <n v="219.07"/>
        <n v="53.81"/>
        <n v="73.03"/>
        <n v="164.37"/>
        <n v="123.82"/>
        <n v="2636.66"/>
        <n v="159.55000000000001"/>
        <n v="1928.86"/>
        <n v="13903.85"/>
        <n v="20552.27"/>
        <n v="12510.07"/>
        <n v="2170.1"/>
        <n v="2762.77"/>
        <n v="384.69"/>
        <n v="10.02"/>
        <n v="103.2"/>
        <n v="701.25"/>
        <n v="36.47"/>
        <n v="398.84"/>
        <n v="131.54"/>
        <n v="221.96"/>
        <n v="52.27"/>
        <n v="101.42"/>
        <n v="1115.1099999999999"/>
        <n v="108.12"/>
        <n v="208.64"/>
        <n v="55.5"/>
        <n v="7990.14"/>
        <n v="2464.44"/>
        <n v="6264.58"/>
        <n v="11875.24"/>
        <n v="6044.34"/>
        <n v="240.35"/>
        <n v="16810.5"/>
        <n v="171.39"/>
        <n v="71.069999999999993"/>
        <n v="712.11"/>
        <n v="434.36"/>
        <n v="119.49"/>
        <n v="204.12"/>
        <n v="3453.28"/>
        <n v="149.97"/>
        <n v="62021.06"/>
        <n v="608.62"/>
        <n v="920.03"/>
        <n v="2763.88"/>
        <n v="5668.49"/>
        <n v="375.73"/>
        <n v="135.24"/>
        <n v="38.020000000000003"/>
        <n v="704.73"/>
        <n v="107.01"/>
        <n v="192.34"/>
        <n v="24.08"/>
      </sharedItems>
    </cacheField>
    <cacheField name="Payment_Mode" numFmtId="0">
      <sharedItems/>
    </cacheField>
    <cacheField name="Delivery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0001"/>
    <d v="2023-11-24T00:00:00"/>
    <s v="CUST1377"/>
    <s v="Diya Mishra"/>
    <x v="0"/>
    <x v="0"/>
    <s v="Smartphone"/>
    <n v="3"/>
    <n v="18000"/>
    <n v="5"/>
    <n v="2700"/>
    <n v="51300"/>
    <x v="0"/>
    <s v="Net Banking"/>
    <s v="Returned"/>
  </r>
  <r>
    <s v="ORD0002"/>
    <d v="2023-01-17T00:00:00"/>
    <s v="CUST1013"/>
    <s v="Deepa Iyer"/>
    <x v="1"/>
    <x v="0"/>
    <s v="Smartphone"/>
    <n v="2"/>
    <n v="18000"/>
    <n v="5"/>
    <n v="1800"/>
    <n v="34200"/>
    <x v="1"/>
    <s v="Credit Card"/>
    <s v="Returned"/>
  </r>
  <r>
    <s v="ORD0003"/>
    <d v="2023-10-29T00:00:00"/>
    <s v="CUST1174"/>
    <s v="Rahul Reddy"/>
    <x v="2"/>
    <x v="1"/>
    <s v="Coffee"/>
    <n v="1"/>
    <n v="400"/>
    <n v="5"/>
    <n v="20"/>
    <n v="380"/>
    <x v="2"/>
    <s v="Debit Card"/>
    <s v="Delivered"/>
  </r>
  <r>
    <s v="ORD0004"/>
    <d v="2023-02-17T00:00:00"/>
    <s v="CUST1413"/>
    <s v="Vivaan Das"/>
    <x v="0"/>
    <x v="2"/>
    <s v="Office Chair"/>
    <n v="3"/>
    <n v="8500"/>
    <n v="10"/>
    <n v="2550"/>
    <n v="22950"/>
    <x v="3"/>
    <s v="Cash on Delivery"/>
    <s v="Delivered"/>
  </r>
  <r>
    <s v="ORD0005"/>
    <d v="2023-10-10T00:00:00"/>
    <s v="CUST1360"/>
    <s v="Ananya Verma"/>
    <x v="2"/>
    <x v="1"/>
    <s v="Coffee"/>
    <n v="5"/>
    <n v="400"/>
    <n v="10"/>
    <n v="200"/>
    <n v="1800"/>
    <x v="4"/>
    <s v="Debit Card"/>
    <s v="Delivered"/>
  </r>
  <r>
    <s v="ORD0006"/>
    <d v="2023-04-30T00:00:00"/>
    <s v="CUST1427"/>
    <s v="Pooja Nair"/>
    <x v="3"/>
    <x v="3"/>
    <s v="Python Basics"/>
    <n v="4"/>
    <n v="499"/>
    <n v="10"/>
    <n v="199.6"/>
    <n v="1796.4"/>
    <x v="5"/>
    <s v="Debit Card"/>
    <s v="Delivered"/>
  </r>
  <r>
    <s v="ORD0007"/>
    <d v="2023-12-10T00:00:00"/>
    <s v="CUST1273"/>
    <s v="Sneha Nair"/>
    <x v="4"/>
    <x v="1"/>
    <s v="Tea Powder"/>
    <n v="1"/>
    <n v="250"/>
    <n v="20"/>
    <n v="50"/>
    <n v="200"/>
    <x v="6"/>
    <s v="Cash on Delivery"/>
    <s v="Delivered"/>
  </r>
  <r>
    <s v="ORD0008"/>
    <d v="2023-11-24T00:00:00"/>
    <s v="CUST1393"/>
    <s v="Vivaan Singh"/>
    <x v="5"/>
    <x v="4"/>
    <s v="Foundation"/>
    <n v="2"/>
    <n v="850"/>
    <n v="25"/>
    <n v="425"/>
    <n v="1275"/>
    <x v="7"/>
    <s v="Debit Card"/>
    <s v="Returned"/>
  </r>
  <r>
    <s v="ORD0009"/>
    <d v="2023-05-18T00:00:00"/>
    <s v="CUST1335"/>
    <s v="Kavita Mehta"/>
    <x v="4"/>
    <x v="0"/>
    <s v="Laptop"/>
    <n v="5"/>
    <n v="55000"/>
    <n v="25"/>
    <n v="68750"/>
    <n v="206250"/>
    <x v="8"/>
    <s v="Credit Card"/>
    <s v="Delivered"/>
  </r>
  <r>
    <s v="ORD0010"/>
    <d v="2023-03-13T00:00:00"/>
    <s v="CUST1299"/>
    <s v="Nisha Agarwal"/>
    <x v="1"/>
    <x v="5"/>
    <s v="Shoes"/>
    <n v="5"/>
    <n v="2499"/>
    <n v="20"/>
    <n v="2499"/>
    <n v="9996"/>
    <x v="9"/>
    <s v="Debit Card"/>
    <s v="Delivered"/>
  </r>
  <r>
    <s v="ORD0011"/>
    <d v="2023-03-12T00:00:00"/>
    <s v="CUST1078"/>
    <s v="Priya Pillai"/>
    <x v="0"/>
    <x v="6"/>
    <s v="Dumbbells"/>
    <n v="1"/>
    <n v="2200"/>
    <n v="0"/>
    <n v="0"/>
    <n v="2200"/>
    <x v="10"/>
    <s v="Cash on Delivery"/>
    <s v="Returned"/>
  </r>
  <r>
    <s v="ORD0012"/>
    <d v="2023-11-02T00:00:00"/>
    <s v="CUST1005"/>
    <s v="Diya Mishra"/>
    <x v="6"/>
    <x v="2"/>
    <s v="Sofa"/>
    <n v="3"/>
    <n v="25000"/>
    <n v="20"/>
    <n v="15000"/>
    <n v="60000"/>
    <x v="11"/>
    <s v="Debit Card"/>
    <s v="Delivered"/>
  </r>
  <r>
    <s v="ORD0013"/>
    <d v="2023-05-31T00:00:00"/>
    <s v="CUST1448"/>
    <s v="Rahul Tiwari"/>
    <x v="7"/>
    <x v="2"/>
    <s v="Study Table"/>
    <n v="4"/>
    <n v="6500"/>
    <n v="0"/>
    <n v="0"/>
    <n v="26000"/>
    <x v="12"/>
    <s v="Net Banking"/>
    <s v="Delivered"/>
  </r>
  <r>
    <s v="ORD0014"/>
    <d v="2023-11-17T00:00:00"/>
    <s v="CUST1191"/>
    <s v="Priya Mishra"/>
    <x v="5"/>
    <x v="1"/>
    <s v="Coffee"/>
    <n v="5"/>
    <n v="400"/>
    <n v="20"/>
    <n v="400"/>
    <n v="1600"/>
    <x v="13"/>
    <s v="Net Banking"/>
    <s v="Delivered"/>
  </r>
  <r>
    <s v="ORD0015"/>
    <d v="2023-09-08T00:00:00"/>
    <s v="CUST1123"/>
    <s v="Manish Patel"/>
    <x v="0"/>
    <x v="0"/>
    <s v="Smartphone"/>
    <n v="3"/>
    <n v="18000"/>
    <n v="10"/>
    <n v="5400"/>
    <n v="48600"/>
    <x v="14"/>
    <s v="Cash on Delivery"/>
    <s v="Delivered"/>
  </r>
  <r>
    <s v="ORD0016"/>
    <d v="2023-09-30T00:00:00"/>
    <s v="CUST1281"/>
    <s v="Priya Kumar"/>
    <x v="1"/>
    <x v="3"/>
    <s v="Excel Mastery"/>
    <n v="2"/>
    <n v="399"/>
    <n v="25"/>
    <n v="199.5"/>
    <n v="598.5"/>
    <x v="15"/>
    <s v="Credit Card"/>
    <s v="Cancelled"/>
  </r>
  <r>
    <s v="ORD0017"/>
    <d v="2023-12-20T00:00:00"/>
    <s v="CUST1332"/>
    <s v="Pooja Das"/>
    <x v="4"/>
    <x v="5"/>
    <s v="Shoes"/>
    <n v="3"/>
    <n v="2499"/>
    <n v="15"/>
    <n v="1124.55"/>
    <n v="6372.45"/>
    <x v="16"/>
    <s v="UPI"/>
    <s v="Delivered"/>
  </r>
  <r>
    <s v="ORD0018"/>
    <d v="2023-04-26T00:00:00"/>
    <s v="CUST1301"/>
    <s v="Sneha Sharma"/>
    <x v="0"/>
    <x v="0"/>
    <s v="Earbuds"/>
    <n v="1"/>
    <n v="3500"/>
    <n v="20"/>
    <n v="700"/>
    <n v="2800"/>
    <x v="17"/>
    <s v="UPI"/>
    <s v="Delivered"/>
  </r>
  <r>
    <s v="ORD0019"/>
    <d v="2023-02-04T00:00:00"/>
    <s v="CUST1142"/>
    <s v="Kavita Iyer"/>
    <x v="7"/>
    <x v="0"/>
    <s v="Speaker"/>
    <n v="3"/>
    <n v="4500"/>
    <n v="0"/>
    <n v="0"/>
    <n v="13500"/>
    <x v="18"/>
    <s v="Net Banking"/>
    <s v="Cancelled"/>
  </r>
  <r>
    <s v="ORD0020"/>
    <d v="2023-08-31T00:00:00"/>
    <s v="CUST1049"/>
    <s v="Nisha Shah"/>
    <x v="1"/>
    <x v="5"/>
    <s v="Sneakers"/>
    <n v="4"/>
    <n v="3499"/>
    <n v="15"/>
    <n v="2099.4"/>
    <n v="11896.6"/>
    <x v="19"/>
    <s v="Cash on Delivery"/>
    <s v="Returned"/>
  </r>
  <r>
    <s v="ORD0021"/>
    <d v="2023-01-28T00:00:00"/>
    <s v="CUST1173"/>
    <s v="Diya Singh"/>
    <x v="2"/>
    <x v="4"/>
    <s v="Perfume"/>
    <n v="1"/>
    <n v="1800"/>
    <n v="0"/>
    <n v="0"/>
    <n v="1800"/>
    <x v="20"/>
    <s v="Credit Card"/>
    <s v="Cancelled"/>
  </r>
  <r>
    <s v="ORD0022"/>
    <d v="2023-08-18T00:00:00"/>
    <s v="CUST1447"/>
    <s v="Ananya Das"/>
    <x v="0"/>
    <x v="5"/>
    <s v="Saree"/>
    <n v="2"/>
    <n v="2500"/>
    <n v="10"/>
    <n v="500"/>
    <n v="4500"/>
    <x v="21"/>
    <s v="UPI"/>
    <s v="Cancelled"/>
  </r>
  <r>
    <s v="ORD0023"/>
    <d v="2023-01-08T00:00:00"/>
    <s v="CUST1246"/>
    <s v="Kiran Mehta"/>
    <x v="5"/>
    <x v="0"/>
    <s v="Speaker"/>
    <n v="2"/>
    <n v="4500"/>
    <n v="5"/>
    <n v="450"/>
    <n v="8550"/>
    <x v="22"/>
    <s v="Credit Card"/>
    <s v="Returned"/>
  </r>
  <r>
    <s v="ORD0024"/>
    <d v="2023-01-02T00:00:00"/>
    <s v="CUST1490"/>
    <s v="Deepa Bhat"/>
    <x v="7"/>
    <x v="2"/>
    <s v="Bookshelf"/>
    <n v="4"/>
    <n v="4200"/>
    <n v="10"/>
    <n v="1680"/>
    <n v="15120"/>
    <x v="23"/>
    <s v="Credit Card"/>
    <s v="Delivered"/>
  </r>
  <r>
    <s v="ORD0025"/>
    <d v="2023-04-22T00:00:00"/>
    <s v="CUST1029"/>
    <s v="Vivaan Agarwal"/>
    <x v="4"/>
    <x v="0"/>
    <s v="Tablet"/>
    <n v="5"/>
    <n v="22000"/>
    <n v="0"/>
    <n v="0"/>
    <n v="110000"/>
    <x v="24"/>
    <s v="Net Banking"/>
    <s v="Cancelled"/>
  </r>
  <r>
    <s v="ORD0026"/>
    <d v="2023-03-22T00:00:00"/>
    <s v="CUST1034"/>
    <s v="Sneha Mehta"/>
    <x v="0"/>
    <x v="0"/>
    <s v="Tablet"/>
    <n v="1"/>
    <n v="22000"/>
    <n v="5"/>
    <n v="1100"/>
    <n v="20900"/>
    <x v="25"/>
    <s v="Net Banking"/>
    <s v="Delivered"/>
  </r>
  <r>
    <s v="ORD0027"/>
    <d v="2023-10-24T00:00:00"/>
    <s v="CUST1298"/>
    <s v="Manish Tiwari"/>
    <x v="3"/>
    <x v="6"/>
    <s v="Cricket Bat"/>
    <n v="5"/>
    <n v="2500"/>
    <n v="0"/>
    <n v="0"/>
    <n v="12500"/>
    <x v="26"/>
    <s v="Debit Card"/>
    <s v="Delivered"/>
  </r>
  <r>
    <s v="ORD0028"/>
    <d v="2023-12-09T00:00:00"/>
    <s v="CUST1343"/>
    <s v="Meera Das"/>
    <x v="3"/>
    <x v="4"/>
    <s v="Sunscreen"/>
    <n v="2"/>
    <n v="350"/>
    <n v="10"/>
    <n v="70"/>
    <n v="630"/>
    <x v="27"/>
    <s v="UPI"/>
    <s v="Delivered"/>
  </r>
  <r>
    <s v="ORD0029"/>
    <d v="2023-08-23T00:00:00"/>
    <s v="CUST1259"/>
    <s v="Rahul Reddy"/>
    <x v="3"/>
    <x v="6"/>
    <s v="Badminton Set"/>
    <n v="1"/>
    <n v="1500"/>
    <n v="0"/>
    <n v="0"/>
    <n v="1500"/>
    <x v="28"/>
    <s v="UPI"/>
    <s v="Delivered"/>
  </r>
  <r>
    <s v="ORD0030"/>
    <d v="2023-07-09T00:00:00"/>
    <s v="CUST1313"/>
    <s v="Suresh Sharma"/>
    <x v="6"/>
    <x v="1"/>
    <s v="Dal (1kg)"/>
    <n v="4"/>
    <n v="120"/>
    <n v="20"/>
    <n v="96"/>
    <n v="384"/>
    <x v="29"/>
    <s v="UPI"/>
    <s v="Delivered"/>
  </r>
  <r>
    <s v="ORD0031"/>
    <d v="2023-05-16T00:00:00"/>
    <s v="CUST1309"/>
    <s v="Kiran Joshi"/>
    <x v="2"/>
    <x v="0"/>
    <s v="Smartphone"/>
    <n v="5"/>
    <n v="18000"/>
    <n v="5"/>
    <n v="4500"/>
    <n v="85500"/>
    <x v="30"/>
    <s v="Debit Card"/>
    <s v="Cancelled"/>
  </r>
  <r>
    <s v="ORD0032"/>
    <d v="2023-09-08T00:00:00"/>
    <s v="CUST1424"/>
    <s v="Rahul Verma"/>
    <x v="5"/>
    <x v="1"/>
    <s v="Coffee"/>
    <n v="1"/>
    <n v="400"/>
    <n v="0"/>
    <n v="0"/>
    <n v="400"/>
    <x v="31"/>
    <s v="Debit Card"/>
    <s v="Delivered"/>
  </r>
  <r>
    <s v="ORD0033"/>
    <d v="2023-11-23T00:00:00"/>
    <s v="CUST1287"/>
    <s v="Aarav Gupta"/>
    <x v="0"/>
    <x v="1"/>
    <s v="Dal (1kg)"/>
    <n v="4"/>
    <n v="120"/>
    <n v="20"/>
    <n v="96"/>
    <n v="384"/>
    <x v="32"/>
    <s v="Credit Card"/>
    <s v="Cancelled"/>
  </r>
  <r>
    <s v="ORD0034"/>
    <d v="2023-01-19T00:00:00"/>
    <s v="CUST1065"/>
    <s v="Vivaan Rao"/>
    <x v="3"/>
    <x v="3"/>
    <s v="Data Science 101"/>
    <n v="5"/>
    <n v="599"/>
    <n v="20"/>
    <n v="599"/>
    <n v="2396"/>
    <x v="33"/>
    <s v="UPI"/>
    <s v="Delivered"/>
  </r>
  <r>
    <s v="ORD0035"/>
    <d v="2023-04-18T00:00:00"/>
    <s v="CUST1452"/>
    <s v="Nisha Khanna"/>
    <x v="7"/>
    <x v="4"/>
    <s v="Shampoo"/>
    <n v="1"/>
    <n v="300"/>
    <n v="10"/>
    <n v="30"/>
    <n v="270"/>
    <x v="34"/>
    <s v="Credit Card"/>
    <s v="Delivered"/>
  </r>
  <r>
    <s v="ORD0036"/>
    <d v="2023-04-01T00:00:00"/>
    <s v="CUST1400"/>
    <s v="Nisha Singh"/>
    <x v="6"/>
    <x v="2"/>
    <s v="Office Chair"/>
    <n v="2"/>
    <n v="8500"/>
    <n v="25"/>
    <n v="4250"/>
    <n v="12750"/>
    <x v="35"/>
    <s v="Credit Card"/>
    <s v="Delivered"/>
  </r>
  <r>
    <s v="ORD0037"/>
    <d v="2023-07-15T00:00:00"/>
    <s v="CUST1470"/>
    <s v="Arun Shah"/>
    <x v="6"/>
    <x v="3"/>
    <s v="Python Basics"/>
    <n v="4"/>
    <n v="499"/>
    <n v="5"/>
    <n v="99.8"/>
    <n v="1896.2"/>
    <x v="36"/>
    <s v="Credit Card"/>
    <s v="Delivered"/>
  </r>
  <r>
    <s v="ORD0038"/>
    <d v="2023-01-13T00:00:00"/>
    <s v="CUST1035"/>
    <s v="Rahul Shah"/>
    <x v="1"/>
    <x v="4"/>
    <s v="Shampoo"/>
    <n v="4"/>
    <n v="300"/>
    <n v="10"/>
    <n v="120"/>
    <n v="1080"/>
    <x v="37"/>
    <s v="Net Banking"/>
    <s v="Delivered"/>
  </r>
  <r>
    <s v="ORD0039"/>
    <d v="2023-01-15T00:00:00"/>
    <s v="CUST1135"/>
    <s v="Vivaan Gupta"/>
    <x v="1"/>
    <x v="0"/>
    <s v="Earbuds"/>
    <n v="2"/>
    <n v="3500"/>
    <n v="20"/>
    <n v="1400"/>
    <n v="5600"/>
    <x v="38"/>
    <s v="Debit Card"/>
    <s v="Delivered"/>
  </r>
  <r>
    <s v="ORD0040"/>
    <d v="2023-08-12T00:00:00"/>
    <s v="CUST1097"/>
    <s v="Rahul Verma"/>
    <x v="1"/>
    <x v="6"/>
    <s v="Badminton Set"/>
    <n v="1"/>
    <n v="1500"/>
    <n v="15"/>
    <n v="225"/>
    <n v="1275"/>
    <x v="39"/>
    <s v="UPI"/>
    <s v="Cancelled"/>
  </r>
  <r>
    <s v="ORD0041"/>
    <d v="2023-10-03T00:00:00"/>
    <s v="CUST1485"/>
    <s v="Arjun Khanna"/>
    <x v="3"/>
    <x v="4"/>
    <s v="Perfume"/>
    <n v="2"/>
    <n v="1800"/>
    <n v="10"/>
    <n v="360"/>
    <n v="3240"/>
    <x v="40"/>
    <s v="UPI"/>
    <s v="Delivered"/>
  </r>
  <r>
    <s v="ORD0042"/>
    <d v="2023-09-17T00:00:00"/>
    <s v="CUST1151"/>
    <s v="Deepa Reddy"/>
    <x v="2"/>
    <x v="1"/>
    <s v="Tea Powder"/>
    <n v="4"/>
    <n v="250"/>
    <n v="10"/>
    <n v="100"/>
    <n v="900"/>
    <x v="41"/>
    <s v="Cash on Delivery"/>
    <s v="Returned"/>
  </r>
  <r>
    <s v="ORD0043"/>
    <d v="2023-12-13T00:00:00"/>
    <s v="CUST1280"/>
    <s v="Aarav Rao"/>
    <x v="6"/>
    <x v="4"/>
    <s v="Shampoo"/>
    <n v="5"/>
    <n v="300"/>
    <n v="20"/>
    <n v="300"/>
    <n v="1200"/>
    <x v="42"/>
    <s v="Credit Card"/>
    <s v="Returned"/>
  </r>
  <r>
    <s v="ORD0044"/>
    <d v="2023-10-24T00:00:00"/>
    <s v="CUST1345"/>
    <s v="Kiran Tiwari"/>
    <x v="4"/>
    <x v="6"/>
    <s v="Cycle"/>
    <n v="3"/>
    <n v="12000"/>
    <n v="15"/>
    <n v="5400"/>
    <n v="30600"/>
    <x v="43"/>
    <s v="Credit Card"/>
    <s v="Delivered"/>
  </r>
  <r>
    <s v="ORD0045"/>
    <d v="2023-05-26T00:00:00"/>
    <s v="CUST1487"/>
    <s v="Sneha Rao"/>
    <x v="2"/>
    <x v="6"/>
    <s v="Cycle"/>
    <n v="5"/>
    <n v="12000"/>
    <n v="10"/>
    <n v="6000"/>
    <n v="54000"/>
    <x v="44"/>
    <s v="Credit Card"/>
    <s v="Delivered"/>
  </r>
  <r>
    <s v="ORD0046"/>
    <d v="2023-01-13T00:00:00"/>
    <s v="CUST1037"/>
    <s v="Arun Pillai"/>
    <x v="2"/>
    <x v="0"/>
    <s v="Laptop"/>
    <n v="4"/>
    <n v="55000"/>
    <n v="20"/>
    <n v="44000"/>
    <n v="176000"/>
    <x v="45"/>
    <s v="Cash on Delivery"/>
    <s v="Returned"/>
  </r>
  <r>
    <s v="ORD0047"/>
    <d v="2023-07-24T00:00:00"/>
    <s v="CUST1112"/>
    <s v="Priya Tiwari"/>
    <x v="4"/>
    <x v="5"/>
    <s v="Jeans"/>
    <n v="1"/>
    <n v="1299"/>
    <n v="0"/>
    <n v="0"/>
    <n v="1299"/>
    <x v="46"/>
    <s v="UPI"/>
    <s v="Cancelled"/>
  </r>
  <r>
    <s v="ORD0048"/>
    <d v="2023-05-08T00:00:00"/>
    <s v="CUST1341"/>
    <s v="Suresh Mishra"/>
    <x v="3"/>
    <x v="3"/>
    <s v="Python Basics"/>
    <n v="4"/>
    <n v="499"/>
    <n v="5"/>
    <n v="99.8"/>
    <n v="1896.2"/>
    <x v="47"/>
    <s v="Cash on Delivery"/>
    <s v="Cancelled"/>
  </r>
  <r>
    <s v="ORD0049"/>
    <d v="2023-09-16T00:00:00"/>
    <s v="CUST1380"/>
    <s v="Kavita Das"/>
    <x v="6"/>
    <x v="2"/>
    <s v="Side Table"/>
    <n v="5"/>
    <n v="3200"/>
    <n v="15"/>
    <n v="2400"/>
    <n v="13600"/>
    <x v="48"/>
    <s v="Credit Card"/>
    <s v="Delivered"/>
  </r>
  <r>
    <s v="ORD0050"/>
    <d v="2023-09-24T00:00:00"/>
    <s v="CUST1365"/>
    <s v="Meera Singh"/>
    <x v="6"/>
    <x v="2"/>
    <s v="Bed Frame"/>
    <n v="2"/>
    <n v="15000"/>
    <n v="10"/>
    <n v="3000"/>
    <n v="27000"/>
    <x v="49"/>
    <s v="Debit Card"/>
    <s v="Delivered"/>
  </r>
  <r>
    <s v="ORD0051"/>
    <d v="2023-10-04T00:00:00"/>
    <s v="CUST1078"/>
    <s v="Kiran Patel"/>
    <x v="1"/>
    <x v="0"/>
    <s v="Laptop"/>
    <n v="2"/>
    <n v="55000"/>
    <n v="5"/>
    <n v="5500"/>
    <n v="104500"/>
    <x v="50"/>
    <s v="Cash on Delivery"/>
    <s v="Delivered"/>
  </r>
  <r>
    <s v="ORD0052"/>
    <d v="2023-10-05T00:00:00"/>
    <s v="CUST1199"/>
    <s v="Manish Sharma"/>
    <x v="1"/>
    <x v="2"/>
    <s v="Wardrobe"/>
    <n v="1"/>
    <n v="18000"/>
    <n v="5"/>
    <n v="900"/>
    <n v="17100"/>
    <x v="51"/>
    <s v="Cash on Delivery"/>
    <s v="Delivered"/>
  </r>
  <r>
    <s v="ORD0053"/>
    <d v="2023-06-30T00:00:00"/>
    <s v="CUST1376"/>
    <s v="Deepa Khanna"/>
    <x v="2"/>
    <x v="1"/>
    <s v="Coffee"/>
    <n v="4"/>
    <n v="400"/>
    <n v="15"/>
    <n v="240"/>
    <n v="1360"/>
    <x v="52"/>
    <s v="Cash on Delivery"/>
    <s v="Delivered"/>
  </r>
  <r>
    <s v="ORD0054"/>
    <d v="2023-05-20T00:00:00"/>
    <s v="CUST1347"/>
    <s v="Vijay Nair"/>
    <x v="4"/>
    <x v="2"/>
    <s v="Wardrobe"/>
    <n v="1"/>
    <n v="18000"/>
    <n v="15"/>
    <n v="2700"/>
    <n v="15300"/>
    <x v="53"/>
    <s v="Credit Card"/>
    <s v="Cancelled"/>
  </r>
  <r>
    <s v="ORD0055"/>
    <d v="2023-10-01T00:00:00"/>
    <s v="CUST1042"/>
    <s v="Nisha Reddy"/>
    <x v="4"/>
    <x v="0"/>
    <s v="Smartwatch"/>
    <n v="5"/>
    <n v="8000"/>
    <n v="20"/>
    <n v="8000"/>
    <n v="32000"/>
    <x v="54"/>
    <s v="Credit Card"/>
    <s v="Delivered"/>
  </r>
  <r>
    <s v="ORD0056"/>
    <d v="2023-05-14T00:00:00"/>
    <s v="CUST1389"/>
    <s v="Vijay Kumar"/>
    <x v="1"/>
    <x v="2"/>
    <s v="Bookshelf"/>
    <n v="2"/>
    <n v="4200"/>
    <n v="15"/>
    <n v="1260"/>
    <n v="7140"/>
    <x v="55"/>
    <s v="Debit Card"/>
    <s v="Delivered"/>
  </r>
  <r>
    <s v="ORD0057"/>
    <d v="2023-08-29T00:00:00"/>
    <s v="CUST1179"/>
    <s v="Sneha Patel"/>
    <x v="5"/>
    <x v="0"/>
    <s v="Charger"/>
    <n v="5"/>
    <n v="800"/>
    <n v="0"/>
    <n v="0"/>
    <n v="4000"/>
    <x v="56"/>
    <s v="UPI"/>
    <s v="Delivered"/>
  </r>
  <r>
    <s v="ORD0058"/>
    <d v="2023-04-13T00:00:00"/>
    <s v="CUST1242"/>
    <s v="Diya Agarwal"/>
    <x v="2"/>
    <x v="3"/>
    <s v="Python Basics"/>
    <n v="5"/>
    <n v="499"/>
    <n v="5"/>
    <n v="124.75"/>
    <n v="2370.25"/>
    <x v="57"/>
    <s v="Cash on Delivery"/>
    <s v="Delivered"/>
  </r>
  <r>
    <s v="ORD0059"/>
    <d v="2023-07-08T00:00:00"/>
    <s v="CUST1398"/>
    <s v="Priya Rao"/>
    <x v="0"/>
    <x v="5"/>
    <s v="Jacket"/>
    <n v="5"/>
    <n v="1999"/>
    <n v="25"/>
    <n v="2498.75"/>
    <n v="7496.25"/>
    <x v="58"/>
    <s v="Net Banking"/>
    <s v="Delivered"/>
  </r>
  <r>
    <s v="ORD0060"/>
    <d v="2023-06-09T00:00:00"/>
    <s v="CUST1101"/>
    <s v="Ananya Agarwal"/>
    <x v="2"/>
    <x v="6"/>
    <s v="Cycle"/>
    <n v="4"/>
    <n v="12000"/>
    <n v="15"/>
    <n v="7200"/>
    <n v="40800"/>
    <x v="59"/>
    <s v="UPI"/>
    <s v="Delivered"/>
  </r>
  <r>
    <s v="ORD0061"/>
    <d v="2023-12-17T00:00:00"/>
    <s v="CUST1177"/>
    <s v="Deepa Pillai"/>
    <x v="3"/>
    <x v="6"/>
    <s v="Running Shoes"/>
    <n v="1"/>
    <n v="3500"/>
    <n v="20"/>
    <n v="700"/>
    <n v="2800"/>
    <x v="60"/>
    <s v="UPI"/>
    <s v="Cancelled"/>
  </r>
  <r>
    <s v="ORD0062"/>
    <d v="2023-11-28T00:00:00"/>
    <s v="CUST1491"/>
    <s v="Pooja Das"/>
    <x v="7"/>
    <x v="1"/>
    <s v="Rice (5kg)"/>
    <n v="4"/>
    <n v="350"/>
    <n v="15"/>
    <n v="210"/>
    <n v="1190"/>
    <x v="61"/>
    <s v="Cash on Delivery"/>
    <s v="Delivered"/>
  </r>
  <r>
    <s v="ORD0063"/>
    <d v="2023-09-25T00:00:00"/>
    <s v="CUST1238"/>
    <s v="Nisha Agarwal"/>
    <x v="6"/>
    <x v="4"/>
    <s v="Sunscreen"/>
    <n v="5"/>
    <n v="350"/>
    <n v="20"/>
    <n v="350"/>
    <n v="1400"/>
    <x v="62"/>
    <s v="Debit Card"/>
    <s v="Delivered"/>
  </r>
  <r>
    <s v="ORD0064"/>
    <d v="2023-02-14T00:00:00"/>
    <s v="CUST1342"/>
    <s v="Vijay Joshi"/>
    <x v="5"/>
    <x v="1"/>
    <s v="Atta (10kg)"/>
    <n v="2"/>
    <n v="450"/>
    <n v="15"/>
    <n v="135"/>
    <n v="765"/>
    <x v="63"/>
    <s v="Cash on Delivery"/>
    <s v="Delivered"/>
  </r>
  <r>
    <s v="ORD0065"/>
    <d v="2023-04-04T00:00:00"/>
    <s v="CUST1450"/>
    <s v="Anjali Kumar"/>
    <x v="5"/>
    <x v="2"/>
    <s v="Study Table"/>
    <n v="3"/>
    <n v="6500"/>
    <n v="10"/>
    <n v="1950"/>
    <n v="17550"/>
    <x v="64"/>
    <s v="Net Banking"/>
    <s v="Delivered"/>
  </r>
  <r>
    <s v="ORD0066"/>
    <d v="2023-02-13T00:00:00"/>
    <s v="CUST1123"/>
    <s v="Kavita Bhat"/>
    <x v="4"/>
    <x v="5"/>
    <s v="Shoes"/>
    <n v="4"/>
    <n v="2499"/>
    <n v="15"/>
    <n v="1499.4"/>
    <n v="8496.6"/>
    <x v="65"/>
    <s v="UPI"/>
    <s v="Delivered"/>
  </r>
  <r>
    <s v="ORD0067"/>
    <d v="2023-05-31T00:00:00"/>
    <s v="CUST1188"/>
    <s v="Kavita Mishra"/>
    <x v="3"/>
    <x v="5"/>
    <s v="Saree"/>
    <n v="2"/>
    <n v="2500"/>
    <n v="10"/>
    <n v="500"/>
    <n v="4500"/>
    <x v="66"/>
    <s v="Cash on Delivery"/>
    <s v="Cancelled"/>
  </r>
  <r>
    <s v="ORD0068"/>
    <d v="2023-06-19T00:00:00"/>
    <s v="CUST1118"/>
    <s v="Diya Iyer"/>
    <x v="3"/>
    <x v="1"/>
    <s v="Tea Powder"/>
    <n v="4"/>
    <n v="250"/>
    <n v="10"/>
    <n v="100"/>
    <n v="900"/>
    <x v="67"/>
    <s v="UPI"/>
    <s v="Cancelled"/>
  </r>
  <r>
    <s v="ORD0069"/>
    <d v="2023-12-20T00:00:00"/>
    <s v="CUST1370"/>
    <s v="Manish Tiwari"/>
    <x v="6"/>
    <x v="5"/>
    <s v="Jeans"/>
    <n v="2"/>
    <n v="1299"/>
    <n v="25"/>
    <n v="649.5"/>
    <n v="1948.5"/>
    <x v="68"/>
    <s v="UPI"/>
    <s v="Delivered"/>
  </r>
  <r>
    <s v="ORD0070"/>
    <d v="2023-06-01T00:00:00"/>
    <s v="CUST1273"/>
    <s v="Rohan Kumar"/>
    <x v="5"/>
    <x v="5"/>
    <s v="Kurta"/>
    <n v="2"/>
    <n v="799"/>
    <n v="10"/>
    <n v="159.80000000000001"/>
    <n v="1438.2"/>
    <x v="69"/>
    <s v="UPI"/>
    <s v="Cancelled"/>
  </r>
  <r>
    <s v="ORD0071"/>
    <d v="2023-05-30T00:00:00"/>
    <s v="CUST1293"/>
    <s v="Meera Bhat"/>
    <x v="4"/>
    <x v="4"/>
    <s v="Shampoo"/>
    <n v="4"/>
    <n v="300"/>
    <n v="0"/>
    <n v="0"/>
    <n v="1200"/>
    <x v="70"/>
    <s v="Cash on Delivery"/>
    <s v="Delivered"/>
  </r>
  <r>
    <s v="ORD0072"/>
    <d v="2023-04-05T00:00:00"/>
    <s v="CUST1205"/>
    <s v="Kavita Patel"/>
    <x v="5"/>
    <x v="0"/>
    <s v="Earbuds"/>
    <n v="4"/>
    <n v="3500"/>
    <n v="0"/>
    <n v="0"/>
    <n v="14000"/>
    <x v="71"/>
    <s v="Credit Card"/>
    <s v="Delivered"/>
  </r>
  <r>
    <s v="ORD0073"/>
    <d v="2023-10-16T00:00:00"/>
    <s v="CUST1213"/>
    <s v="Anjali Khanna"/>
    <x v="2"/>
    <x v="1"/>
    <s v="Rice (5kg)"/>
    <n v="2"/>
    <n v="350"/>
    <n v="0"/>
    <n v="0"/>
    <n v="700"/>
    <x v="72"/>
    <s v="Net Banking"/>
    <s v="Returned"/>
  </r>
  <r>
    <s v="ORD0074"/>
    <d v="2023-08-19T00:00:00"/>
    <s v="CUST1317"/>
    <s v="Vivaan Khanna"/>
    <x v="0"/>
    <x v="2"/>
    <s v="Bookshelf"/>
    <n v="5"/>
    <n v="4200"/>
    <n v="15"/>
    <n v="3150"/>
    <n v="17850"/>
    <x v="73"/>
    <s v="Credit Card"/>
    <s v="Delivered"/>
  </r>
  <r>
    <s v="ORD0075"/>
    <d v="2023-05-16T00:00:00"/>
    <s v="CUST1038"/>
    <s v="Priya Sharma"/>
    <x v="1"/>
    <x v="4"/>
    <s v="Moisturizer"/>
    <n v="2"/>
    <n v="450"/>
    <n v="5"/>
    <n v="45"/>
    <n v="855"/>
    <x v="74"/>
    <s v="Cash on Delivery"/>
    <s v="Cancelled"/>
  </r>
  <r>
    <s v="ORD0076"/>
    <d v="2023-08-29T00:00:00"/>
    <s v="CUST1359"/>
    <s v="Arun Patel"/>
    <x v="2"/>
    <x v="1"/>
    <s v="Rice (5kg)"/>
    <n v="2"/>
    <n v="350"/>
    <n v="10"/>
    <n v="70"/>
    <n v="630"/>
    <x v="75"/>
    <s v="Debit Card"/>
    <s v="Cancelled"/>
  </r>
  <r>
    <s v="ORD0077"/>
    <d v="2023-12-05T00:00:00"/>
    <s v="CUST1331"/>
    <s v="Rohan Kumar"/>
    <x v="7"/>
    <x v="3"/>
    <s v="Excel Mastery"/>
    <n v="4"/>
    <n v="399"/>
    <n v="0"/>
    <n v="0"/>
    <n v="1596"/>
    <x v="76"/>
    <s v="UPI"/>
    <s v="Delivered"/>
  </r>
  <r>
    <s v="ORD0078"/>
    <d v="2023-03-26T00:00:00"/>
    <s v="CUST1471"/>
    <s v="Meera Das"/>
    <x v="0"/>
    <x v="3"/>
    <s v="Data Science 101"/>
    <n v="5"/>
    <n v="599"/>
    <n v="25"/>
    <n v="748.75"/>
    <n v="2246.25"/>
    <x v="77"/>
    <s v="Cash on Delivery"/>
    <s v="Delivered"/>
  </r>
  <r>
    <s v="ORD0079"/>
    <d v="2023-12-25T00:00:00"/>
    <s v="CUST1041"/>
    <s v="Anjali Verma"/>
    <x v="1"/>
    <x v="2"/>
    <s v="Bookshelf"/>
    <n v="5"/>
    <n v="4200"/>
    <n v="20"/>
    <n v="4200"/>
    <n v="16800"/>
    <x v="78"/>
    <s v="Debit Card"/>
    <s v="Cancelled"/>
  </r>
  <r>
    <s v="ORD0080"/>
    <d v="2023-05-09T00:00:00"/>
    <s v="CUST1294"/>
    <s v="Manish Sharma"/>
    <x v="6"/>
    <x v="0"/>
    <s v="Smartphone"/>
    <n v="2"/>
    <n v="18000"/>
    <n v="25"/>
    <n v="9000"/>
    <n v="27000"/>
    <x v="79"/>
    <s v="Net Banking"/>
    <s v="Delivered"/>
  </r>
  <r>
    <s v="ORD0081"/>
    <d v="2023-03-31T00:00:00"/>
    <s v="CUST1299"/>
    <s v="Nisha Bhat"/>
    <x v="0"/>
    <x v="2"/>
    <s v="Sofa"/>
    <n v="4"/>
    <n v="25000"/>
    <n v="10"/>
    <n v="10000"/>
    <n v="90000"/>
    <x v="80"/>
    <s v="Cash on Delivery"/>
    <s v="Delivered"/>
  </r>
  <r>
    <s v="ORD0082"/>
    <d v="2023-07-29T00:00:00"/>
    <s v="CUST1355"/>
    <s v="Kavita Rao"/>
    <x v="1"/>
    <x v="1"/>
    <s v="Oil (1L)"/>
    <n v="1"/>
    <n v="180"/>
    <n v="5"/>
    <n v="9"/>
    <n v="171"/>
    <x v="81"/>
    <s v="Net Banking"/>
    <s v="Delivered"/>
  </r>
  <r>
    <s v="ORD0083"/>
    <d v="2023-08-21T00:00:00"/>
    <s v="CUST1395"/>
    <s v="Vijay Tiwari"/>
    <x v="5"/>
    <x v="0"/>
    <s v="Earbuds"/>
    <n v="3"/>
    <n v="3500"/>
    <n v="10"/>
    <n v="1050"/>
    <n v="9450"/>
    <x v="82"/>
    <s v="Net Banking"/>
    <s v="Returned"/>
  </r>
  <r>
    <s v="ORD0084"/>
    <d v="2023-07-31T00:00:00"/>
    <s v="CUST1255"/>
    <s v="Arun Verma"/>
    <x v="2"/>
    <x v="0"/>
    <s v="Laptop"/>
    <n v="5"/>
    <n v="55000"/>
    <n v="10"/>
    <n v="27500"/>
    <n v="247500"/>
    <x v="83"/>
    <s v="Debit Card"/>
    <s v="Cancelled"/>
  </r>
  <r>
    <s v="ORD0085"/>
    <d v="2023-03-09T00:00:00"/>
    <s v="CUST1322"/>
    <s v="Anjali Singh"/>
    <x v="7"/>
    <x v="1"/>
    <s v="Atta (10kg)"/>
    <n v="4"/>
    <n v="450"/>
    <n v="0"/>
    <n v="0"/>
    <n v="1800"/>
    <x v="84"/>
    <s v="Debit Card"/>
    <s v="Cancelled"/>
  </r>
  <r>
    <s v="ORD0086"/>
    <d v="2023-01-08T00:00:00"/>
    <s v="CUST1467"/>
    <s v="Diya Das"/>
    <x v="0"/>
    <x v="6"/>
    <s v="Dumbbells"/>
    <n v="1"/>
    <n v="2200"/>
    <n v="5"/>
    <n v="110"/>
    <n v="2090"/>
    <x v="85"/>
    <s v="Credit Card"/>
    <s v="Returned"/>
  </r>
  <r>
    <s v="ORD0087"/>
    <d v="2023-05-30T00:00:00"/>
    <s v="CUST1241"/>
    <s v="Sneha Das"/>
    <x v="7"/>
    <x v="6"/>
    <s v="Cycle"/>
    <n v="3"/>
    <n v="12000"/>
    <n v="15"/>
    <n v="5400"/>
    <n v="30600"/>
    <x v="86"/>
    <s v="Cash on Delivery"/>
    <s v="Delivered"/>
  </r>
  <r>
    <s v="ORD0088"/>
    <d v="2023-11-03T00:00:00"/>
    <s v="CUST1404"/>
    <s v="Nisha Joshi"/>
    <x v="6"/>
    <x v="6"/>
    <s v="Cycle"/>
    <n v="2"/>
    <n v="12000"/>
    <n v="0"/>
    <n v="0"/>
    <n v="24000"/>
    <x v="87"/>
    <s v="UPI"/>
    <s v="Delivered"/>
  </r>
  <r>
    <s v="ORD0089"/>
    <d v="2023-06-02T00:00:00"/>
    <s v="CUST1076"/>
    <s v="Arun Mishra"/>
    <x v="4"/>
    <x v="3"/>
    <s v="Business Analytics"/>
    <n v="5"/>
    <n v="699"/>
    <n v="25"/>
    <n v="873.75"/>
    <n v="2621.25"/>
    <x v="88"/>
    <s v="Debit Card"/>
    <s v="Delivered"/>
  </r>
  <r>
    <s v="ORD0090"/>
    <d v="2023-10-10T00:00:00"/>
    <s v="CUST1445"/>
    <s v="Kiran Singh"/>
    <x v="1"/>
    <x v="3"/>
    <s v="Business Analytics"/>
    <n v="4"/>
    <n v="699"/>
    <n v="15"/>
    <n v="419.4"/>
    <n v="2376.6"/>
    <x v="89"/>
    <s v="Credit Card"/>
    <s v="Returned"/>
  </r>
  <r>
    <s v="ORD0091"/>
    <d v="2023-01-23T00:00:00"/>
    <s v="CUST1195"/>
    <s v="Vijay Reddy"/>
    <x v="4"/>
    <x v="1"/>
    <s v="Tea Powder"/>
    <n v="4"/>
    <n v="250"/>
    <n v="25"/>
    <n v="250"/>
    <n v="750"/>
    <x v="90"/>
    <s v="UPI"/>
    <s v="Delivered"/>
  </r>
  <r>
    <s v="ORD0092"/>
    <d v="2023-09-15T00:00:00"/>
    <s v="CUST1466"/>
    <s v="Arun Sharma"/>
    <x v="7"/>
    <x v="6"/>
    <s v="Yoga Mat"/>
    <n v="1"/>
    <n v="700"/>
    <n v="15"/>
    <n v="105"/>
    <n v="595"/>
    <x v="91"/>
    <s v="Cash on Delivery"/>
    <s v="Delivered"/>
  </r>
  <r>
    <s v="ORD0093"/>
    <d v="2023-02-08T00:00:00"/>
    <s v="CUST1203"/>
    <s v="Ananya Joshi"/>
    <x v="1"/>
    <x v="2"/>
    <s v="Side Table"/>
    <n v="3"/>
    <n v="3200"/>
    <n v="10"/>
    <n v="960"/>
    <n v="8640"/>
    <x v="92"/>
    <s v="Debit Card"/>
    <s v="Returned"/>
  </r>
  <r>
    <s v="ORD0094"/>
    <d v="2023-10-05T00:00:00"/>
    <s v="CUST1471"/>
    <s v="Meera Singh"/>
    <x v="0"/>
    <x v="0"/>
    <s v="Tablet"/>
    <n v="1"/>
    <n v="22000"/>
    <n v="5"/>
    <n v="1100"/>
    <n v="20900"/>
    <x v="93"/>
    <s v="Cash on Delivery"/>
    <s v="Delivered"/>
  </r>
  <r>
    <s v="ORD0095"/>
    <d v="2023-11-21T00:00:00"/>
    <s v="CUST1153"/>
    <s v="Aarav Verma"/>
    <x v="3"/>
    <x v="4"/>
    <s v="Face Wash"/>
    <n v="1"/>
    <n v="250"/>
    <n v="15"/>
    <n v="37.5"/>
    <n v="212.5"/>
    <x v="94"/>
    <s v="UPI"/>
    <s v="Delivered"/>
  </r>
  <r>
    <s v="ORD0096"/>
    <d v="2023-07-03T00:00:00"/>
    <s v="CUST1289"/>
    <s v="Priya Nair"/>
    <x v="7"/>
    <x v="1"/>
    <s v="Atta (10kg)"/>
    <n v="2"/>
    <n v="450"/>
    <n v="5"/>
    <n v="45"/>
    <n v="855"/>
    <x v="95"/>
    <s v="UPI"/>
    <s v="Cancelled"/>
  </r>
  <r>
    <s v="ORD0097"/>
    <d v="2023-07-15T00:00:00"/>
    <s v="CUST1073"/>
    <s v="Sneha Das"/>
    <x v="6"/>
    <x v="6"/>
    <s v="Cycle"/>
    <n v="2"/>
    <n v="12000"/>
    <n v="15"/>
    <n v="3600"/>
    <n v="20400"/>
    <x v="96"/>
    <s v="Cash on Delivery"/>
    <s v="Delivered"/>
  </r>
  <r>
    <s v="ORD0098"/>
    <d v="2023-12-08T00:00:00"/>
    <s v="CUST1080"/>
    <s v="Ananya Das"/>
    <x v="3"/>
    <x v="0"/>
    <s v="Speaker"/>
    <n v="4"/>
    <n v="4500"/>
    <n v="10"/>
    <n v="1800"/>
    <n v="16200"/>
    <x v="97"/>
    <s v="Net Banking"/>
    <s v="Delivered"/>
  </r>
  <r>
    <s v="ORD0099"/>
    <d v="2023-11-24T00:00:00"/>
    <s v="CUST1101"/>
    <s v="Vijay Bhat"/>
    <x v="0"/>
    <x v="2"/>
    <s v="Bed Frame"/>
    <n v="3"/>
    <n v="15000"/>
    <n v="15"/>
    <n v="6750"/>
    <n v="38250"/>
    <x v="98"/>
    <s v="Credit Card"/>
    <s v="Returned"/>
  </r>
  <r>
    <s v="ORD0100"/>
    <d v="2023-10-20T00:00:00"/>
    <s v="CUST1500"/>
    <s v="Vijay Kumar"/>
    <x v="5"/>
    <x v="1"/>
    <s v="Sugar (2kg)"/>
    <n v="3"/>
    <n v="90"/>
    <n v="25"/>
    <n v="67.5"/>
    <n v="202.5"/>
    <x v="99"/>
    <s v="Net Banking"/>
    <s v="Delivered"/>
  </r>
  <r>
    <s v="ORD0101"/>
    <d v="2023-11-07T00:00:00"/>
    <s v="CUST1180"/>
    <s v="Sneha Iyer"/>
    <x v="6"/>
    <x v="4"/>
    <s v="Lipstick"/>
    <n v="3"/>
    <n v="650"/>
    <n v="5"/>
    <n v="97.5"/>
    <n v="1852.5"/>
    <x v="100"/>
    <s v="Credit Card"/>
    <s v="Delivered"/>
  </r>
  <r>
    <s v="ORD0102"/>
    <d v="2023-11-18T00:00:00"/>
    <s v="CUST1186"/>
    <s v="Rohan Patel"/>
    <x v="6"/>
    <x v="4"/>
    <s v="Moisturizer"/>
    <n v="3"/>
    <n v="450"/>
    <n v="15"/>
    <n v="202.5"/>
    <n v="1147.5"/>
    <x v="101"/>
    <s v="Debit Card"/>
    <s v="Returned"/>
  </r>
  <r>
    <s v="ORD0103"/>
    <d v="2023-03-31T00:00:00"/>
    <s v="CUST1467"/>
    <s v="Rahul Nair"/>
    <x v="6"/>
    <x v="5"/>
    <s v="Jeans"/>
    <n v="5"/>
    <n v="1299"/>
    <n v="10"/>
    <n v="649.5"/>
    <n v="5845.5"/>
    <x v="102"/>
    <s v="Cash on Delivery"/>
    <s v="Delivered"/>
  </r>
  <r>
    <s v="ORD0104"/>
    <d v="2023-06-23T00:00:00"/>
    <s v="CUST1494"/>
    <s v="Sneha Mehta"/>
    <x v="3"/>
    <x v="3"/>
    <s v="Python Basics"/>
    <n v="4"/>
    <n v="499"/>
    <n v="0"/>
    <n v="0"/>
    <n v="1996"/>
    <x v="103"/>
    <s v="UPI"/>
    <s v="Returned"/>
  </r>
  <r>
    <s v="ORD0105"/>
    <d v="2023-01-08T00:00:00"/>
    <s v="CUST1383"/>
    <s v="Rahul Agarwal"/>
    <x v="1"/>
    <x v="1"/>
    <s v="Sugar (2kg)"/>
    <n v="1"/>
    <n v="90"/>
    <n v="15"/>
    <n v="13.5"/>
    <n v="76.5"/>
    <x v="104"/>
    <s v="Debit Card"/>
    <s v="Delivered"/>
  </r>
  <r>
    <s v="ORD0106"/>
    <d v="2023-12-12T00:00:00"/>
    <s v="CUST1287"/>
    <s v="Arjun Khanna"/>
    <x v="2"/>
    <x v="5"/>
    <s v="Saree"/>
    <n v="1"/>
    <n v="2500"/>
    <n v="20"/>
    <n v="500"/>
    <n v="2000"/>
    <x v="105"/>
    <s v="UPI"/>
    <s v="Returned"/>
  </r>
  <r>
    <s v="ORD0107"/>
    <d v="2023-12-25T00:00:00"/>
    <s v="CUST1484"/>
    <s v="Vivaan Rao"/>
    <x v="4"/>
    <x v="1"/>
    <s v="Tea Powder"/>
    <n v="4"/>
    <n v="250"/>
    <n v="0"/>
    <n v="0"/>
    <n v="1000"/>
    <x v="106"/>
    <s v="UPI"/>
    <s v="Delivered"/>
  </r>
  <r>
    <s v="ORD0108"/>
    <d v="2023-05-01T00:00:00"/>
    <s v="CUST1486"/>
    <s v="Deepa Pillai"/>
    <x v="7"/>
    <x v="6"/>
    <s v="Football"/>
    <n v="4"/>
    <n v="800"/>
    <n v="15"/>
    <n v="480"/>
    <n v="2720"/>
    <x v="107"/>
    <s v="Cash on Delivery"/>
    <s v="Delivered"/>
  </r>
  <r>
    <s v="ORD0109"/>
    <d v="2023-09-08T00:00:00"/>
    <s v="CUST1111"/>
    <s v="Arun Das"/>
    <x v="2"/>
    <x v="6"/>
    <s v="Dumbbells"/>
    <n v="3"/>
    <n v="2200"/>
    <n v="0"/>
    <n v="0"/>
    <n v="6600"/>
    <x v="108"/>
    <s v="Debit Card"/>
    <s v="Delivered"/>
  </r>
  <r>
    <s v="ORD0110"/>
    <d v="2023-12-18T00:00:00"/>
    <s v="CUST1097"/>
    <s v="Diya Das"/>
    <x v="0"/>
    <x v="1"/>
    <s v="Sugar (2kg)"/>
    <n v="3"/>
    <n v="90"/>
    <n v="0"/>
    <n v="0"/>
    <n v="270"/>
    <x v="109"/>
    <s v="Credit Card"/>
    <s v="Cancelled"/>
  </r>
  <r>
    <s v="ORD0111"/>
    <d v="2023-01-11T00:00:00"/>
    <s v="CUST1402"/>
    <s v="Manish Iyer"/>
    <x v="0"/>
    <x v="0"/>
    <s v="Speaker"/>
    <n v="3"/>
    <n v="4500"/>
    <n v="5"/>
    <n v="675"/>
    <n v="12825"/>
    <x v="110"/>
    <s v="Net Banking"/>
    <s v="Delivered"/>
  </r>
  <r>
    <s v="ORD0112"/>
    <d v="2023-10-28T00:00:00"/>
    <s v="CUST1403"/>
    <s v="Anjali Sharma"/>
    <x v="6"/>
    <x v="5"/>
    <s v="Sneakers"/>
    <n v="2"/>
    <n v="3499"/>
    <n v="10"/>
    <n v="699.8"/>
    <n v="6298.2"/>
    <x v="111"/>
    <s v="Credit Card"/>
    <s v="Delivered"/>
  </r>
  <r>
    <s v="ORD0113"/>
    <d v="2023-10-04T00:00:00"/>
    <s v="CUST1013"/>
    <s v="Rohan Sharma"/>
    <x v="3"/>
    <x v="1"/>
    <s v="Coffee"/>
    <n v="2"/>
    <n v="400"/>
    <n v="0"/>
    <n v="0"/>
    <n v="800"/>
    <x v="112"/>
    <s v="Credit Card"/>
    <s v="Cancelled"/>
  </r>
  <r>
    <s v="ORD0114"/>
    <d v="2023-06-15T00:00:00"/>
    <s v="CUST1215"/>
    <s v="Suresh Gupta"/>
    <x v="0"/>
    <x v="0"/>
    <s v="Laptop"/>
    <n v="3"/>
    <n v="55000"/>
    <n v="0"/>
    <n v="0"/>
    <n v="165000"/>
    <x v="113"/>
    <s v="Cash on Delivery"/>
    <s v="Returned"/>
  </r>
  <r>
    <s v="ORD0115"/>
    <d v="2023-07-05T00:00:00"/>
    <s v="CUST1484"/>
    <s v="Anjali Verma"/>
    <x v="6"/>
    <x v="6"/>
    <s v="Badminton Set"/>
    <n v="1"/>
    <n v="1500"/>
    <n v="15"/>
    <n v="225"/>
    <n v="1275"/>
    <x v="114"/>
    <s v="Cash on Delivery"/>
    <s v="Delivered"/>
  </r>
  <r>
    <s v="ORD0116"/>
    <d v="2023-02-01T00:00:00"/>
    <s v="CUST1251"/>
    <s v="Arun Patel"/>
    <x v="0"/>
    <x v="2"/>
    <s v="Side Table"/>
    <n v="4"/>
    <n v="3200"/>
    <n v="15"/>
    <n v="1920"/>
    <n v="10880"/>
    <x v="115"/>
    <s v="Debit Card"/>
    <s v="Cancelled"/>
  </r>
  <r>
    <s v="ORD0117"/>
    <d v="2023-03-17T00:00:00"/>
    <s v="CUST1280"/>
    <s v="Arjun Mehta"/>
    <x v="6"/>
    <x v="0"/>
    <s v="Laptop"/>
    <n v="3"/>
    <n v="55000"/>
    <n v="20"/>
    <n v="33000"/>
    <n v="132000"/>
    <x v="116"/>
    <s v="Cash on Delivery"/>
    <s v="Cancelled"/>
  </r>
  <r>
    <s v="ORD0118"/>
    <d v="2023-11-06T00:00:00"/>
    <s v="CUST1393"/>
    <s v="Deepa Iyer"/>
    <x v="1"/>
    <x v="2"/>
    <s v="Office Chair"/>
    <n v="1"/>
    <n v="8500"/>
    <n v="25"/>
    <n v="2125"/>
    <n v="6375"/>
    <x v="117"/>
    <s v="Cash on Delivery"/>
    <s v="Delivered"/>
  </r>
  <r>
    <s v="ORD0119"/>
    <d v="2023-07-31T00:00:00"/>
    <s v="CUST1048"/>
    <s v="Arjun Pillai"/>
    <x v="3"/>
    <x v="1"/>
    <s v="Coffee"/>
    <n v="4"/>
    <n v="400"/>
    <n v="15"/>
    <n v="240"/>
    <n v="1360"/>
    <x v="118"/>
    <s v="Debit Card"/>
    <s v="Delivered"/>
  </r>
  <r>
    <s v="ORD0120"/>
    <d v="2023-03-20T00:00:00"/>
    <s v="CUST1047"/>
    <s v="Nisha Gupta"/>
    <x v="3"/>
    <x v="4"/>
    <s v="Lipstick"/>
    <n v="1"/>
    <n v="650"/>
    <n v="0"/>
    <n v="0"/>
    <n v="650"/>
    <x v="119"/>
    <s v="Credit Card"/>
    <s v="Cancelled"/>
  </r>
  <r>
    <s v="ORD0121"/>
    <d v="2023-01-31T00:00:00"/>
    <s v="CUST1210"/>
    <s v="Pooja Pillai"/>
    <x v="5"/>
    <x v="6"/>
    <s v="Badminton Set"/>
    <n v="5"/>
    <n v="1500"/>
    <n v="10"/>
    <n v="750"/>
    <n v="6750"/>
    <x v="120"/>
    <s v="Debit Card"/>
    <s v="Cancelled"/>
  </r>
  <r>
    <s v="ORD0122"/>
    <d v="2023-06-09T00:00:00"/>
    <s v="CUST1336"/>
    <s v="Kavita Singh"/>
    <x v="0"/>
    <x v="1"/>
    <s v="Rice (5kg)"/>
    <n v="5"/>
    <n v="350"/>
    <n v="20"/>
    <n v="350"/>
    <n v="1400"/>
    <x v="121"/>
    <s v="Debit Card"/>
    <s v="Cancelled"/>
  </r>
  <r>
    <s v="ORD0123"/>
    <d v="2023-07-08T00:00:00"/>
    <s v="CUST1219"/>
    <s v="Deepa Khanna"/>
    <x v="5"/>
    <x v="0"/>
    <s v="Speaker"/>
    <n v="3"/>
    <n v="4500"/>
    <n v="20"/>
    <n v="2700"/>
    <n v="10800"/>
    <x v="122"/>
    <s v="Net Banking"/>
    <s v="Delivered"/>
  </r>
  <r>
    <s v="ORD0124"/>
    <d v="2023-01-15T00:00:00"/>
    <s v="CUST1092"/>
    <s v="Rohan Agarwal"/>
    <x v="1"/>
    <x v="5"/>
    <s v="Kurta"/>
    <n v="3"/>
    <n v="799"/>
    <n v="10"/>
    <n v="239.7"/>
    <n v="2157.3000000000002"/>
    <x v="123"/>
    <s v="UPI"/>
    <s v="Delivered"/>
  </r>
  <r>
    <s v="ORD0125"/>
    <d v="2023-11-21T00:00:00"/>
    <s v="CUST1232"/>
    <s v="Arjun Nair"/>
    <x v="3"/>
    <x v="0"/>
    <s v="Smartphone"/>
    <n v="5"/>
    <n v="18000"/>
    <n v="5"/>
    <n v="4500"/>
    <n v="85500"/>
    <x v="124"/>
    <s v="Debit Card"/>
    <s v="Delivered"/>
  </r>
  <r>
    <s v="ORD0126"/>
    <d v="2023-10-18T00:00:00"/>
    <s v="CUST1316"/>
    <s v="Vivaan Patel"/>
    <x v="6"/>
    <x v="6"/>
    <s v="Cricket Bat"/>
    <n v="1"/>
    <n v="2500"/>
    <n v="5"/>
    <n v="125"/>
    <n v="2375"/>
    <x v="125"/>
    <s v="Cash on Delivery"/>
    <s v="Returned"/>
  </r>
  <r>
    <s v="ORD0127"/>
    <d v="2023-09-06T00:00:00"/>
    <s v="CUST1262"/>
    <s v="Diya Shah"/>
    <x v="1"/>
    <x v="6"/>
    <s v="Dumbbells"/>
    <n v="4"/>
    <n v="2200"/>
    <n v="10"/>
    <n v="880"/>
    <n v="7920"/>
    <x v="126"/>
    <s v="UPI"/>
    <s v="Delivered"/>
  </r>
  <r>
    <s v="ORD0128"/>
    <d v="2023-12-14T00:00:00"/>
    <s v="CUST1023"/>
    <s v="Sneha Mehta"/>
    <x v="5"/>
    <x v="4"/>
    <s v="Foundation"/>
    <n v="4"/>
    <n v="850"/>
    <n v="20"/>
    <n v="680"/>
    <n v="2720"/>
    <x v="127"/>
    <s v="UPI"/>
    <s v="Delivered"/>
  </r>
  <r>
    <s v="ORD0129"/>
    <d v="2023-06-04T00:00:00"/>
    <s v="CUST1061"/>
    <s v="Aarav Bhat"/>
    <x v="1"/>
    <x v="5"/>
    <s v="Sneakers"/>
    <n v="2"/>
    <n v="3499"/>
    <n v="10"/>
    <n v="699.8"/>
    <n v="6298.2"/>
    <x v="128"/>
    <s v="Credit Card"/>
    <s v="Delivered"/>
  </r>
  <r>
    <s v="ORD0130"/>
    <d v="2023-07-14T00:00:00"/>
    <s v="CUST1342"/>
    <s v="Pooja Patel"/>
    <x v="1"/>
    <x v="6"/>
    <s v="Cycle"/>
    <n v="2"/>
    <n v="12000"/>
    <n v="20"/>
    <n v="4800"/>
    <n v="19200"/>
    <x v="129"/>
    <s v="UPI"/>
    <s v="Returned"/>
  </r>
  <r>
    <s v="ORD0131"/>
    <d v="2023-01-10T00:00:00"/>
    <s v="CUST1207"/>
    <s v="Nisha Rao"/>
    <x v="0"/>
    <x v="2"/>
    <s v="Office Chair"/>
    <n v="3"/>
    <n v="8500"/>
    <n v="20"/>
    <n v="5100"/>
    <n v="20400"/>
    <x v="130"/>
    <s v="Cash on Delivery"/>
    <s v="Delivered"/>
  </r>
  <r>
    <s v="ORD0132"/>
    <d v="2023-06-16T00:00:00"/>
    <s v="CUST1470"/>
    <s v="Pooja Patel"/>
    <x v="1"/>
    <x v="5"/>
    <s v="Sneakers"/>
    <n v="5"/>
    <n v="3499"/>
    <n v="15"/>
    <n v="2624.25"/>
    <n v="14870.75"/>
    <x v="131"/>
    <s v="UPI"/>
    <s v="Delivered"/>
  </r>
  <r>
    <s v="ORD0133"/>
    <d v="2023-08-12T00:00:00"/>
    <s v="CUST1158"/>
    <s v="Arjun Singh"/>
    <x v="3"/>
    <x v="6"/>
    <s v="Dumbbells"/>
    <n v="5"/>
    <n v="2200"/>
    <n v="0"/>
    <n v="0"/>
    <n v="11000"/>
    <x v="132"/>
    <s v="Credit Card"/>
    <s v="Delivered"/>
  </r>
  <r>
    <s v="ORD0134"/>
    <d v="2023-09-19T00:00:00"/>
    <s v="CUST1397"/>
    <s v="Pooja Shah"/>
    <x v="7"/>
    <x v="4"/>
    <s v="Moisturizer"/>
    <n v="5"/>
    <n v="450"/>
    <n v="20"/>
    <n v="450"/>
    <n v="1800"/>
    <x v="133"/>
    <s v="Credit Card"/>
    <s v="Delivered"/>
  </r>
  <r>
    <s v="ORD0135"/>
    <d v="2023-03-16T00:00:00"/>
    <s v="CUST1388"/>
    <s v="Ananya Nair"/>
    <x v="4"/>
    <x v="1"/>
    <s v="Dal (1kg)"/>
    <n v="2"/>
    <n v="120"/>
    <n v="20"/>
    <n v="48"/>
    <n v="192"/>
    <x v="134"/>
    <s v="Cash on Delivery"/>
    <s v="Cancelled"/>
  </r>
  <r>
    <s v="ORD0136"/>
    <d v="2023-10-24T00:00:00"/>
    <s v="CUST1319"/>
    <s v="Arjun Joshi"/>
    <x v="7"/>
    <x v="2"/>
    <s v="Bed Frame"/>
    <n v="5"/>
    <n v="15000"/>
    <n v="25"/>
    <n v="18750"/>
    <n v="56250"/>
    <x v="135"/>
    <s v="Cash on Delivery"/>
    <s v="Delivered"/>
  </r>
  <r>
    <s v="ORD0137"/>
    <d v="2023-08-29T00:00:00"/>
    <s v="CUST1180"/>
    <s v="Suresh Patel"/>
    <x v="6"/>
    <x v="2"/>
    <s v="Bed Frame"/>
    <n v="3"/>
    <n v="15000"/>
    <n v="10"/>
    <n v="4500"/>
    <n v="40500"/>
    <x v="136"/>
    <s v="Cash on Delivery"/>
    <s v="Returned"/>
  </r>
  <r>
    <s v="ORD0138"/>
    <d v="2023-01-20T00:00:00"/>
    <s v="CUST1500"/>
    <s v="Ananya Khanna"/>
    <x v="1"/>
    <x v="0"/>
    <s v="Earbuds"/>
    <n v="3"/>
    <n v="3500"/>
    <n v="0"/>
    <n v="0"/>
    <n v="10500"/>
    <x v="137"/>
    <s v="Cash on Delivery"/>
    <s v="Cancelled"/>
  </r>
  <r>
    <s v="ORD0139"/>
    <d v="2023-10-11T00:00:00"/>
    <s v="CUST1292"/>
    <s v="Kiran Joshi"/>
    <x v="4"/>
    <x v="3"/>
    <s v="Finance Book"/>
    <n v="1"/>
    <n v="549"/>
    <n v="15"/>
    <n v="82.35"/>
    <n v="466.65"/>
    <x v="138"/>
    <s v="Net Banking"/>
    <s v="Delivered"/>
  </r>
  <r>
    <s v="ORD0140"/>
    <d v="2023-02-01T00:00:00"/>
    <s v="CUST1330"/>
    <s v="Priya Verma"/>
    <x v="2"/>
    <x v="2"/>
    <s v="Office Chair"/>
    <n v="3"/>
    <n v="8500"/>
    <n v="25"/>
    <n v="6375"/>
    <n v="19125"/>
    <x v="139"/>
    <s v="Cash on Delivery"/>
    <s v="Returned"/>
  </r>
  <r>
    <s v="ORD0141"/>
    <d v="2023-09-26T00:00:00"/>
    <s v="CUST1144"/>
    <s v="Vijay Pillai"/>
    <x v="3"/>
    <x v="6"/>
    <s v="Badminton Set"/>
    <n v="2"/>
    <n v="1500"/>
    <n v="10"/>
    <n v="300"/>
    <n v="2700"/>
    <x v="140"/>
    <s v="Net Banking"/>
    <s v="Delivered"/>
  </r>
  <r>
    <s v="ORD0142"/>
    <d v="2023-11-20T00:00:00"/>
    <s v="CUST1347"/>
    <s v="Vijay Rao"/>
    <x v="6"/>
    <x v="4"/>
    <s v="Sunscreen"/>
    <n v="1"/>
    <n v="350"/>
    <n v="10"/>
    <n v="35"/>
    <n v="315"/>
    <x v="141"/>
    <s v="Net Banking"/>
    <s v="Delivered"/>
  </r>
  <r>
    <s v="ORD0143"/>
    <d v="2023-06-20T00:00:00"/>
    <s v="CUST1335"/>
    <s v="Vijay Reddy"/>
    <x v="0"/>
    <x v="0"/>
    <s v="Tablet"/>
    <n v="2"/>
    <n v="22000"/>
    <n v="10"/>
    <n v="4400"/>
    <n v="39600"/>
    <x v="142"/>
    <s v="Debit Card"/>
    <s v="Cancelled"/>
  </r>
  <r>
    <s v="ORD0144"/>
    <d v="2023-07-12T00:00:00"/>
    <s v="CUST1424"/>
    <s v="Suresh Patel"/>
    <x v="1"/>
    <x v="4"/>
    <s v="Face Wash"/>
    <n v="3"/>
    <n v="250"/>
    <n v="5"/>
    <n v="37.5"/>
    <n v="712.5"/>
    <x v="143"/>
    <s v="Net Banking"/>
    <s v="Delivered"/>
  </r>
  <r>
    <s v="ORD0145"/>
    <d v="2023-01-10T00:00:00"/>
    <s v="CUST1392"/>
    <s v="Kavita Iyer"/>
    <x v="2"/>
    <x v="1"/>
    <s v="Oil (1L)"/>
    <n v="2"/>
    <n v="180"/>
    <n v="5"/>
    <n v="18"/>
    <n v="342"/>
    <x v="144"/>
    <s v="Credit Card"/>
    <s v="Delivered"/>
  </r>
  <r>
    <s v="ORD0146"/>
    <d v="2023-02-09T00:00:00"/>
    <s v="CUST1427"/>
    <s v="Suresh Verma"/>
    <x v="3"/>
    <x v="1"/>
    <s v="Coffee"/>
    <n v="1"/>
    <n v="400"/>
    <n v="20"/>
    <n v="80"/>
    <n v="320"/>
    <x v="145"/>
    <s v="Net Banking"/>
    <s v="Delivered"/>
  </r>
  <r>
    <s v="ORD0147"/>
    <d v="2023-11-02T00:00:00"/>
    <s v="CUST1394"/>
    <s v="Anjali Nair"/>
    <x v="4"/>
    <x v="2"/>
    <s v="Study Table"/>
    <n v="2"/>
    <n v="6500"/>
    <n v="5"/>
    <n v="650"/>
    <n v="12350"/>
    <x v="146"/>
    <s v="UPI"/>
    <s v="Returned"/>
  </r>
  <r>
    <s v="ORD0148"/>
    <d v="2023-07-06T00:00:00"/>
    <s v="CUST1385"/>
    <s v="Arun Singh"/>
    <x v="2"/>
    <x v="4"/>
    <s v="Perfume"/>
    <n v="2"/>
    <n v="1800"/>
    <n v="15"/>
    <n v="540"/>
    <n v="3060"/>
    <x v="147"/>
    <s v="Debit Card"/>
    <s v="Returned"/>
  </r>
  <r>
    <s v="ORD0149"/>
    <d v="2023-04-10T00:00:00"/>
    <s v="CUST1144"/>
    <s v="Vijay Tiwari"/>
    <x v="1"/>
    <x v="1"/>
    <s v="Tea Powder"/>
    <n v="5"/>
    <n v="250"/>
    <n v="15"/>
    <n v="187.5"/>
    <n v="1062.5"/>
    <x v="148"/>
    <s v="Credit Card"/>
    <s v="Delivered"/>
  </r>
  <r>
    <s v="ORD0150"/>
    <d v="2023-11-06T00:00:00"/>
    <s v="CUST1447"/>
    <s v="Pooja Mishra"/>
    <x v="0"/>
    <x v="5"/>
    <s v="Sneakers"/>
    <n v="3"/>
    <n v="3499"/>
    <n v="0"/>
    <n v="0"/>
    <n v="10497"/>
    <x v="149"/>
    <s v="Net Banking"/>
    <s v="Delivered"/>
  </r>
  <r>
    <s v="ORD0151"/>
    <d v="2023-05-26T00:00:00"/>
    <s v="CUST1262"/>
    <s v="Rohan Pillai"/>
    <x v="0"/>
    <x v="0"/>
    <s v="Speaker"/>
    <n v="2"/>
    <n v="4500"/>
    <n v="10"/>
    <n v="900"/>
    <n v="8100"/>
    <x v="150"/>
    <s v="Credit Card"/>
    <s v="Returned"/>
  </r>
  <r>
    <s v="ORD0152"/>
    <d v="2023-06-28T00:00:00"/>
    <s v="CUST1120"/>
    <s v="Vijay Patel"/>
    <x v="3"/>
    <x v="0"/>
    <s v="Smartwatch"/>
    <n v="1"/>
    <n v="8000"/>
    <n v="15"/>
    <n v="1200"/>
    <n v="6800"/>
    <x v="151"/>
    <s v="Credit Card"/>
    <s v="Delivered"/>
  </r>
  <r>
    <s v="ORD0153"/>
    <d v="2023-06-13T00:00:00"/>
    <s v="CUST1146"/>
    <s v="Kavita Reddy"/>
    <x v="4"/>
    <x v="0"/>
    <s v="Speaker"/>
    <n v="3"/>
    <n v="4500"/>
    <n v="5"/>
    <n v="675"/>
    <n v="12825"/>
    <x v="152"/>
    <s v="Cash on Delivery"/>
    <s v="Cancelled"/>
  </r>
  <r>
    <s v="ORD0154"/>
    <d v="2023-01-03T00:00:00"/>
    <s v="CUST1280"/>
    <s v="Anjali Tiwari"/>
    <x v="1"/>
    <x v="0"/>
    <s v="Smartphone"/>
    <n v="3"/>
    <n v="18000"/>
    <n v="5"/>
    <n v="2700"/>
    <n v="51300"/>
    <x v="153"/>
    <s v="UPI"/>
    <s v="Delivered"/>
  </r>
  <r>
    <s v="ORD0155"/>
    <d v="2023-05-02T00:00:00"/>
    <s v="CUST1406"/>
    <s v="Anjali Das"/>
    <x v="0"/>
    <x v="1"/>
    <s v="Rice (5kg)"/>
    <n v="1"/>
    <n v="350"/>
    <n v="5"/>
    <n v="17.5"/>
    <n v="332.5"/>
    <x v="154"/>
    <s v="UPI"/>
    <s v="Returned"/>
  </r>
  <r>
    <s v="ORD0156"/>
    <d v="2023-11-02T00:00:00"/>
    <s v="CUST1073"/>
    <s v="Meera Pillai"/>
    <x v="5"/>
    <x v="6"/>
    <s v="Cricket Bat"/>
    <n v="5"/>
    <n v="2500"/>
    <n v="20"/>
    <n v="2500"/>
    <n v="10000"/>
    <x v="155"/>
    <s v="Net Banking"/>
    <s v="Delivered"/>
  </r>
  <r>
    <s v="ORD0157"/>
    <d v="2023-05-04T00:00:00"/>
    <s v="CUST1268"/>
    <s v="Pooja Patel"/>
    <x v="5"/>
    <x v="6"/>
    <s v="Dumbbells"/>
    <n v="2"/>
    <n v="2200"/>
    <n v="25"/>
    <n v="1100"/>
    <n v="3300"/>
    <x v="156"/>
    <s v="Cash on Delivery"/>
    <s v="Returned"/>
  </r>
  <r>
    <s v="ORD0158"/>
    <d v="2023-01-23T00:00:00"/>
    <s v="CUST1182"/>
    <s v="Ananya Shah"/>
    <x v="2"/>
    <x v="4"/>
    <s v="Lipstick"/>
    <n v="3"/>
    <n v="650"/>
    <n v="10"/>
    <n v="195"/>
    <n v="1755"/>
    <x v="157"/>
    <s v="UPI"/>
    <s v="Cancelled"/>
  </r>
  <r>
    <s v="ORD0159"/>
    <d v="2023-06-20T00:00:00"/>
    <s v="CUST1329"/>
    <s v="Priya Das"/>
    <x v="4"/>
    <x v="5"/>
    <s v="T-Shirt"/>
    <n v="3"/>
    <n v="499"/>
    <n v="20"/>
    <n v="299.39999999999998"/>
    <n v="1197.5999999999999"/>
    <x v="158"/>
    <s v="Credit Card"/>
    <s v="Delivered"/>
  </r>
  <r>
    <s v="ORD0160"/>
    <d v="2023-02-02T00:00:00"/>
    <s v="CUST1022"/>
    <s v="Kiran Verma"/>
    <x v="3"/>
    <x v="4"/>
    <s v="Face Wash"/>
    <n v="4"/>
    <n v="250"/>
    <n v="0"/>
    <n v="0"/>
    <n v="1000"/>
    <x v="159"/>
    <s v="Debit Card"/>
    <s v="Cancelled"/>
  </r>
  <r>
    <s v="ORD0161"/>
    <d v="2023-07-23T00:00:00"/>
    <s v="CUST1331"/>
    <s v="Kiran Rao"/>
    <x v="3"/>
    <x v="3"/>
    <s v="Business Analytics"/>
    <n v="4"/>
    <n v="699"/>
    <n v="10"/>
    <n v="279.60000000000002"/>
    <n v="2516.4"/>
    <x v="160"/>
    <s v="UPI"/>
    <s v="Delivered"/>
  </r>
  <r>
    <s v="ORD0162"/>
    <d v="2023-05-20T00:00:00"/>
    <s v="CUST1380"/>
    <s v="Arun Mehta"/>
    <x v="3"/>
    <x v="0"/>
    <s v="Speaker"/>
    <n v="3"/>
    <n v="4500"/>
    <n v="15"/>
    <n v="2025"/>
    <n v="11475"/>
    <x v="161"/>
    <s v="Credit Card"/>
    <s v="Returned"/>
  </r>
  <r>
    <s v="ORD0163"/>
    <d v="2023-12-21T00:00:00"/>
    <s v="CUST1372"/>
    <s v="Nisha Patel"/>
    <x v="1"/>
    <x v="2"/>
    <s v="Bookshelf"/>
    <n v="5"/>
    <n v="4200"/>
    <n v="10"/>
    <n v="2100"/>
    <n v="18900"/>
    <x v="162"/>
    <s v="Net Banking"/>
    <s v="Delivered"/>
  </r>
  <r>
    <s v="ORD0164"/>
    <d v="2023-10-07T00:00:00"/>
    <s v="CUST1151"/>
    <s v="Meera Das"/>
    <x v="1"/>
    <x v="1"/>
    <s v="Oil (1L)"/>
    <n v="1"/>
    <n v="180"/>
    <n v="0"/>
    <n v="0"/>
    <n v="180"/>
    <x v="163"/>
    <s v="Credit Card"/>
    <s v="Returned"/>
  </r>
  <r>
    <s v="ORD0165"/>
    <d v="2023-06-29T00:00:00"/>
    <s v="CUST1140"/>
    <s v="Vivaan Patel"/>
    <x v="1"/>
    <x v="2"/>
    <s v="Office Chair"/>
    <n v="3"/>
    <n v="8500"/>
    <n v="20"/>
    <n v="5100"/>
    <n v="20400"/>
    <x v="164"/>
    <s v="Debit Card"/>
    <s v="Cancelled"/>
  </r>
  <r>
    <s v="ORD0166"/>
    <d v="2023-12-14T00:00:00"/>
    <s v="CUST1224"/>
    <s v="Vivaan Reddy"/>
    <x v="0"/>
    <x v="5"/>
    <s v="T-Shirt"/>
    <n v="2"/>
    <n v="499"/>
    <n v="20"/>
    <n v="199.6"/>
    <n v="798.4"/>
    <x v="165"/>
    <s v="Credit Card"/>
    <s v="Delivered"/>
  </r>
  <r>
    <s v="ORD0167"/>
    <d v="2023-07-05T00:00:00"/>
    <s v="CUST1230"/>
    <s v="Pooja Shah"/>
    <x v="4"/>
    <x v="2"/>
    <s v="Sofa"/>
    <n v="1"/>
    <n v="25000"/>
    <n v="20"/>
    <n v="5000"/>
    <n v="20000"/>
    <x v="166"/>
    <s v="UPI"/>
    <s v="Cancelled"/>
  </r>
  <r>
    <s v="ORD0168"/>
    <d v="2023-03-12T00:00:00"/>
    <s v="CUST1127"/>
    <s v="Diya Sharma"/>
    <x v="7"/>
    <x v="6"/>
    <s v="Yoga Mat"/>
    <n v="4"/>
    <n v="700"/>
    <n v="10"/>
    <n v="280"/>
    <n v="2520"/>
    <x v="167"/>
    <s v="Cash on Delivery"/>
    <s v="Cancelled"/>
  </r>
  <r>
    <s v="ORD0169"/>
    <d v="2023-07-18T00:00:00"/>
    <s v="CUST1109"/>
    <s v="Anjali Rao"/>
    <x v="4"/>
    <x v="6"/>
    <s v="Cricket Bat"/>
    <n v="3"/>
    <n v="2500"/>
    <n v="10"/>
    <n v="750"/>
    <n v="6750"/>
    <x v="168"/>
    <s v="Credit Card"/>
    <s v="Delivered"/>
  </r>
  <r>
    <s v="ORD0170"/>
    <d v="2023-03-11T00:00:00"/>
    <s v="CUST1227"/>
    <s v="Ananya Joshi"/>
    <x v="3"/>
    <x v="3"/>
    <s v="Python Basics"/>
    <n v="4"/>
    <n v="499"/>
    <n v="5"/>
    <n v="99.8"/>
    <n v="1896.2"/>
    <x v="169"/>
    <s v="UPI"/>
    <s v="Cancelled"/>
  </r>
  <r>
    <s v="ORD0171"/>
    <d v="2023-10-05T00:00:00"/>
    <s v="CUST1358"/>
    <s v="Priya Shah"/>
    <x v="2"/>
    <x v="1"/>
    <s v="Oil (1L)"/>
    <n v="2"/>
    <n v="180"/>
    <n v="25"/>
    <n v="90"/>
    <n v="270"/>
    <x v="170"/>
    <s v="UPI"/>
    <s v="Delivered"/>
  </r>
  <r>
    <s v="ORD0172"/>
    <d v="2023-03-13T00:00:00"/>
    <s v="CUST1293"/>
    <s v="Pooja Das"/>
    <x v="7"/>
    <x v="5"/>
    <s v="Sneakers"/>
    <n v="4"/>
    <n v="3499"/>
    <n v="0"/>
    <n v="0"/>
    <n v="13996"/>
    <x v="171"/>
    <s v="Net Banking"/>
    <s v="Delivered"/>
  </r>
  <r>
    <s v="ORD0173"/>
    <d v="2023-02-03T00:00:00"/>
    <s v="CUST1209"/>
    <s v="Manish Patel"/>
    <x v="7"/>
    <x v="1"/>
    <s v="Atta (10kg)"/>
    <n v="4"/>
    <n v="450"/>
    <n v="20"/>
    <n v="360"/>
    <n v="1440"/>
    <x v="172"/>
    <s v="Debit Card"/>
    <s v="Delivered"/>
  </r>
  <r>
    <s v="ORD0174"/>
    <d v="2023-08-19T00:00:00"/>
    <s v="CUST1424"/>
    <s v="Deepa Agarwal"/>
    <x v="7"/>
    <x v="2"/>
    <s v="Bed Frame"/>
    <n v="5"/>
    <n v="15000"/>
    <n v="10"/>
    <n v="7500"/>
    <n v="67500"/>
    <x v="173"/>
    <s v="Credit Card"/>
    <s v="Returned"/>
  </r>
  <r>
    <s v="ORD0175"/>
    <d v="2023-09-15T00:00:00"/>
    <s v="CUST1084"/>
    <s v="Priya Joshi"/>
    <x v="2"/>
    <x v="3"/>
    <s v="Python Basics"/>
    <n v="1"/>
    <n v="499"/>
    <n v="20"/>
    <n v="99.8"/>
    <n v="399.2"/>
    <x v="174"/>
    <s v="Debit Card"/>
    <s v="Cancelled"/>
  </r>
  <r>
    <s v="ORD0176"/>
    <d v="2023-05-26T00:00:00"/>
    <s v="CUST1282"/>
    <s v="Rahul Reddy"/>
    <x v="6"/>
    <x v="3"/>
    <s v="Python Basics"/>
    <n v="3"/>
    <n v="499"/>
    <n v="5"/>
    <n v="74.849999999999994"/>
    <n v="1422.15"/>
    <x v="175"/>
    <s v="Net Banking"/>
    <s v="Cancelled"/>
  </r>
  <r>
    <s v="ORD0177"/>
    <d v="2023-02-17T00:00:00"/>
    <s v="CUST1078"/>
    <s v="Priya Khanna"/>
    <x v="3"/>
    <x v="6"/>
    <s v="Cycle"/>
    <n v="2"/>
    <n v="12000"/>
    <n v="20"/>
    <n v="4800"/>
    <n v="19200"/>
    <x v="176"/>
    <s v="Net Banking"/>
    <s v="Delivered"/>
  </r>
  <r>
    <s v="ORD0178"/>
    <d v="2023-01-15T00:00:00"/>
    <s v="CUST1392"/>
    <s v="Manish Pillai"/>
    <x v="5"/>
    <x v="0"/>
    <s v="Smartphone"/>
    <n v="5"/>
    <n v="18000"/>
    <n v="10"/>
    <n v="9000"/>
    <n v="81000"/>
    <x v="177"/>
    <s v="Cash on Delivery"/>
    <s v="Cancelled"/>
  </r>
  <r>
    <s v="ORD0179"/>
    <d v="2023-05-29T00:00:00"/>
    <s v="CUST1350"/>
    <s v="Vijay Rao"/>
    <x v="4"/>
    <x v="4"/>
    <s v="Sunscreen"/>
    <n v="4"/>
    <n v="350"/>
    <n v="5"/>
    <n v="70"/>
    <n v="1330"/>
    <x v="178"/>
    <s v="UPI"/>
    <s v="Delivered"/>
  </r>
  <r>
    <s v="ORD0180"/>
    <d v="2023-03-22T00:00:00"/>
    <s v="CUST1310"/>
    <s v="Rohan Joshi"/>
    <x v="3"/>
    <x v="2"/>
    <s v="Wardrobe"/>
    <n v="4"/>
    <n v="18000"/>
    <n v="15"/>
    <n v="10800"/>
    <n v="61200"/>
    <x v="179"/>
    <s v="Debit Card"/>
    <s v="Returned"/>
  </r>
  <r>
    <s v="ORD0181"/>
    <d v="2023-03-08T00:00:00"/>
    <s v="CUST1123"/>
    <s v="Arun Gupta"/>
    <x v="6"/>
    <x v="3"/>
    <s v="Data Science 101"/>
    <n v="5"/>
    <n v="599"/>
    <n v="20"/>
    <n v="599"/>
    <n v="2396"/>
    <x v="180"/>
    <s v="Cash on Delivery"/>
    <s v="Delivered"/>
  </r>
  <r>
    <s v="ORD0182"/>
    <d v="2023-03-14T00:00:00"/>
    <s v="CUST1214"/>
    <s v="Sneha Nair"/>
    <x v="3"/>
    <x v="0"/>
    <s v="Smartphone"/>
    <n v="3"/>
    <n v="18000"/>
    <n v="15"/>
    <n v="8100"/>
    <n v="45900"/>
    <x v="181"/>
    <s v="Net Banking"/>
    <s v="Delivered"/>
  </r>
  <r>
    <s v="ORD0183"/>
    <d v="2023-04-08T00:00:00"/>
    <s v="CUST1450"/>
    <s v="Meera Bhat"/>
    <x v="5"/>
    <x v="3"/>
    <s v="Excel Mastery"/>
    <n v="4"/>
    <n v="399"/>
    <n v="20"/>
    <n v="319.2"/>
    <n v="1276.8"/>
    <x v="182"/>
    <s v="UPI"/>
    <s v="Returned"/>
  </r>
  <r>
    <s v="ORD0184"/>
    <d v="2023-09-16T00:00:00"/>
    <s v="CUST1025"/>
    <s v="Meera Bhat"/>
    <x v="4"/>
    <x v="2"/>
    <s v="Study Table"/>
    <n v="2"/>
    <n v="6500"/>
    <n v="20"/>
    <n v="2600"/>
    <n v="10400"/>
    <x v="183"/>
    <s v="Debit Card"/>
    <s v="Cancelled"/>
  </r>
  <r>
    <s v="ORD0185"/>
    <d v="2023-01-05T00:00:00"/>
    <s v="CUST1372"/>
    <s v="Pooja Mehta"/>
    <x v="3"/>
    <x v="3"/>
    <s v="Python Basics"/>
    <n v="4"/>
    <n v="499"/>
    <n v="5"/>
    <n v="99.8"/>
    <n v="1896.2"/>
    <x v="184"/>
    <s v="UPI"/>
    <s v="Returned"/>
  </r>
  <r>
    <s v="ORD0186"/>
    <d v="2023-01-27T00:00:00"/>
    <s v="CUST1037"/>
    <s v="Vijay Tiwari"/>
    <x v="4"/>
    <x v="6"/>
    <s v="Badminton Set"/>
    <n v="2"/>
    <n v="1500"/>
    <n v="10"/>
    <n v="300"/>
    <n v="2700"/>
    <x v="185"/>
    <s v="Net Banking"/>
    <s v="Delivered"/>
  </r>
  <r>
    <s v="ORD0187"/>
    <d v="2023-11-16T00:00:00"/>
    <s v="CUST1201"/>
    <s v="Pooja Joshi"/>
    <x v="3"/>
    <x v="4"/>
    <s v="Foundation"/>
    <n v="1"/>
    <n v="850"/>
    <n v="5"/>
    <n v="42.5"/>
    <n v="807.5"/>
    <x v="186"/>
    <s v="Credit Card"/>
    <s v="Delivered"/>
  </r>
  <r>
    <s v="ORD0188"/>
    <d v="2023-11-05T00:00:00"/>
    <s v="CUST1070"/>
    <s v="Arjun Bhat"/>
    <x v="4"/>
    <x v="6"/>
    <s v="Dumbbells"/>
    <n v="5"/>
    <n v="2200"/>
    <n v="0"/>
    <n v="0"/>
    <n v="11000"/>
    <x v="187"/>
    <s v="Credit Card"/>
    <s v="Cancelled"/>
  </r>
  <r>
    <s v="ORD0189"/>
    <d v="2023-09-21T00:00:00"/>
    <s v="CUST1315"/>
    <s v="Meera Agarwal"/>
    <x v="3"/>
    <x v="5"/>
    <s v="Kurta"/>
    <n v="5"/>
    <n v="799"/>
    <n v="10"/>
    <n v="399.5"/>
    <n v="3595.5"/>
    <x v="188"/>
    <s v="Net Banking"/>
    <s v="Cancelled"/>
  </r>
  <r>
    <s v="ORD0190"/>
    <d v="2023-09-30T00:00:00"/>
    <s v="CUST1008"/>
    <s v="Pooja Joshi"/>
    <x v="0"/>
    <x v="2"/>
    <s v="Bed Frame"/>
    <n v="5"/>
    <n v="15000"/>
    <n v="10"/>
    <n v="7500"/>
    <n v="67500"/>
    <x v="189"/>
    <s v="Cash on Delivery"/>
    <s v="Cancelled"/>
  </r>
  <r>
    <s v="ORD0191"/>
    <d v="2023-06-07T00:00:00"/>
    <s v="CUST1495"/>
    <s v="Manish Agarwal"/>
    <x v="2"/>
    <x v="3"/>
    <s v="Finance Book"/>
    <n v="1"/>
    <n v="549"/>
    <n v="20"/>
    <n v="109.8"/>
    <n v="439.2"/>
    <x v="190"/>
    <s v="UPI"/>
    <s v="Cancelled"/>
  </r>
  <r>
    <s v="ORD0192"/>
    <d v="2023-09-03T00:00:00"/>
    <s v="CUST1348"/>
    <s v="Sneha Verma"/>
    <x v="0"/>
    <x v="5"/>
    <s v="Jacket"/>
    <n v="5"/>
    <n v="1999"/>
    <n v="15"/>
    <n v="1499.25"/>
    <n v="8495.75"/>
    <x v="191"/>
    <s v="Credit Card"/>
    <s v="Delivered"/>
  </r>
  <r>
    <s v="ORD0193"/>
    <d v="2023-08-14T00:00:00"/>
    <s v="CUST1210"/>
    <s v="Suresh Khanna"/>
    <x v="4"/>
    <x v="1"/>
    <s v="Atta (10kg)"/>
    <n v="2"/>
    <n v="450"/>
    <n v="15"/>
    <n v="135"/>
    <n v="765"/>
    <x v="192"/>
    <s v="UPI"/>
    <s v="Delivered"/>
  </r>
  <r>
    <s v="ORD0194"/>
    <d v="2023-09-23T00:00:00"/>
    <s v="CUST1192"/>
    <s v="Arjun Nair"/>
    <x v="4"/>
    <x v="5"/>
    <s v="Jacket"/>
    <n v="3"/>
    <n v="1999"/>
    <n v="25"/>
    <n v="1499.25"/>
    <n v="4497.75"/>
    <x v="193"/>
    <s v="Net Banking"/>
    <s v="Delivered"/>
  </r>
  <r>
    <s v="ORD0195"/>
    <d v="2023-10-07T00:00:00"/>
    <s v="CUST1490"/>
    <s v="Sneha Kumar"/>
    <x v="6"/>
    <x v="1"/>
    <s v="Tea Powder"/>
    <n v="3"/>
    <n v="250"/>
    <n v="20"/>
    <n v="150"/>
    <n v="600"/>
    <x v="194"/>
    <s v="Credit Card"/>
    <s v="Delivered"/>
  </r>
  <r>
    <s v="ORD0196"/>
    <d v="2023-05-28T00:00:00"/>
    <s v="CUST1286"/>
    <s v="Rahul Rao"/>
    <x v="0"/>
    <x v="4"/>
    <s v="Shampoo"/>
    <n v="4"/>
    <n v="300"/>
    <n v="10"/>
    <n v="120"/>
    <n v="1080"/>
    <x v="195"/>
    <s v="Net Banking"/>
    <s v="Cancelled"/>
  </r>
  <r>
    <s v="ORD0197"/>
    <d v="2023-07-14T00:00:00"/>
    <s v="CUST1147"/>
    <s v="Ananya Shah"/>
    <x v="4"/>
    <x v="2"/>
    <s v="Side Table"/>
    <n v="3"/>
    <n v="3200"/>
    <n v="5"/>
    <n v="480"/>
    <n v="9120"/>
    <x v="196"/>
    <s v="Debit Card"/>
    <s v="Returned"/>
  </r>
  <r>
    <s v="ORD0198"/>
    <d v="2023-04-20T00:00:00"/>
    <s v="CUST1356"/>
    <s v="Rahul Reddy"/>
    <x v="0"/>
    <x v="5"/>
    <s v="Sneakers"/>
    <n v="5"/>
    <n v="3499"/>
    <n v="10"/>
    <n v="1749.5"/>
    <n v="15745.5"/>
    <x v="197"/>
    <s v="Net Banking"/>
    <s v="Cancelled"/>
  </r>
  <r>
    <s v="ORD0199"/>
    <d v="2023-05-03T00:00:00"/>
    <s v="CUST1026"/>
    <s v="Diya Pillai"/>
    <x v="3"/>
    <x v="5"/>
    <s v="T-Shirt"/>
    <n v="5"/>
    <n v="499"/>
    <n v="5"/>
    <n v="124.75"/>
    <n v="2370.25"/>
    <x v="198"/>
    <s v="Cash on Delivery"/>
    <s v="Delivered"/>
  </r>
  <r>
    <s v="ORD0200"/>
    <d v="2023-12-15T00:00:00"/>
    <s v="CUST1080"/>
    <s v="Nisha Bhat"/>
    <x v="4"/>
    <x v="3"/>
    <s v="Excel Mastery"/>
    <n v="1"/>
    <n v="399"/>
    <n v="20"/>
    <n v="79.8"/>
    <n v="319.2"/>
    <x v="199"/>
    <s v="Credit Card"/>
    <s v="Delivered"/>
  </r>
  <r>
    <s v="ORD0201"/>
    <d v="2023-06-14T00:00:00"/>
    <s v="CUST1118"/>
    <s v="Deepa Verma"/>
    <x v="7"/>
    <x v="1"/>
    <s v="Tea Powder"/>
    <n v="1"/>
    <n v="250"/>
    <n v="0"/>
    <n v="0"/>
    <n v="250"/>
    <x v="200"/>
    <s v="Cash on Delivery"/>
    <s v="Delivered"/>
  </r>
  <r>
    <s v="ORD0202"/>
    <d v="2023-01-19T00:00:00"/>
    <s v="CUST1492"/>
    <s v="Meera Verma"/>
    <x v="5"/>
    <x v="3"/>
    <s v="SQL Guide"/>
    <n v="4"/>
    <n v="449"/>
    <n v="5"/>
    <n v="89.8"/>
    <n v="1706.2"/>
    <x v="201"/>
    <s v="Debit Card"/>
    <s v="Cancelled"/>
  </r>
  <r>
    <s v="ORD0203"/>
    <d v="2023-11-05T00:00:00"/>
    <s v="CUST1278"/>
    <s v="Suresh Bhat"/>
    <x v="7"/>
    <x v="0"/>
    <s v="Earbuds"/>
    <n v="3"/>
    <n v="3500"/>
    <n v="15"/>
    <n v="1575"/>
    <n v="8925"/>
    <x v="202"/>
    <s v="Net Banking"/>
    <s v="Returned"/>
  </r>
  <r>
    <s v="ORD0204"/>
    <d v="2023-05-20T00:00:00"/>
    <s v="CUST1234"/>
    <s v="Rahul Nair"/>
    <x v="5"/>
    <x v="5"/>
    <s v="Sneakers"/>
    <n v="1"/>
    <n v="3499"/>
    <n v="10"/>
    <n v="349.9"/>
    <n v="3149.1"/>
    <x v="203"/>
    <s v="Debit Card"/>
    <s v="Delivered"/>
  </r>
  <r>
    <s v="ORD0205"/>
    <d v="2023-10-18T00:00:00"/>
    <s v="CUST1327"/>
    <s v="Vijay Pillai"/>
    <x v="3"/>
    <x v="4"/>
    <s v="Face Wash"/>
    <n v="2"/>
    <n v="250"/>
    <n v="5"/>
    <n v="25"/>
    <n v="475"/>
    <x v="204"/>
    <s v="UPI"/>
    <s v="Returned"/>
  </r>
  <r>
    <s v="ORD0206"/>
    <d v="2023-12-09T00:00:00"/>
    <s v="CUST1127"/>
    <s v="Aarav Kumar"/>
    <x v="1"/>
    <x v="0"/>
    <s v="Laptop"/>
    <n v="2"/>
    <n v="55000"/>
    <n v="15"/>
    <n v="16500"/>
    <n v="93500"/>
    <x v="205"/>
    <s v="Credit Card"/>
    <s v="Returned"/>
  </r>
  <r>
    <s v="ORD0207"/>
    <d v="2023-05-17T00:00:00"/>
    <s v="CUST1133"/>
    <s v="Pooja Singh"/>
    <x v="5"/>
    <x v="1"/>
    <s v="Oil (1L)"/>
    <n v="5"/>
    <n v="180"/>
    <n v="25"/>
    <n v="225"/>
    <n v="675"/>
    <x v="206"/>
    <s v="UPI"/>
    <s v="Returned"/>
  </r>
  <r>
    <s v="ORD0208"/>
    <d v="2023-06-07T00:00:00"/>
    <s v="CUST1353"/>
    <s v="Diya Rao"/>
    <x v="3"/>
    <x v="5"/>
    <s v="Saree"/>
    <n v="5"/>
    <n v="2500"/>
    <n v="25"/>
    <n v="3125"/>
    <n v="9375"/>
    <x v="207"/>
    <s v="Net Banking"/>
    <s v="Delivered"/>
  </r>
  <r>
    <s v="ORD0209"/>
    <d v="2023-04-23T00:00:00"/>
    <s v="CUST1310"/>
    <s v="Pooja Pillai"/>
    <x v="4"/>
    <x v="5"/>
    <s v="Saree"/>
    <n v="2"/>
    <n v="2500"/>
    <n v="15"/>
    <n v="750"/>
    <n v="4250"/>
    <x v="208"/>
    <s v="Net Banking"/>
    <s v="Delivered"/>
  </r>
  <r>
    <s v="ORD0210"/>
    <d v="2023-05-07T00:00:00"/>
    <s v="CUST1270"/>
    <s v="Pooja Patel"/>
    <x v="0"/>
    <x v="4"/>
    <s v="Face Wash"/>
    <n v="5"/>
    <n v="250"/>
    <n v="0"/>
    <n v="0"/>
    <n v="1250"/>
    <x v="209"/>
    <s v="UPI"/>
    <s v="Cancelled"/>
  </r>
  <r>
    <s v="ORD0211"/>
    <d v="2023-09-16T00:00:00"/>
    <s v="CUST1437"/>
    <s v="Suresh Das"/>
    <x v="0"/>
    <x v="5"/>
    <s v="Jacket"/>
    <n v="5"/>
    <n v="1999"/>
    <n v="5"/>
    <n v="499.75"/>
    <n v="9495.25"/>
    <x v="210"/>
    <s v="Credit Card"/>
    <s v="Cancelled"/>
  </r>
  <r>
    <s v="ORD0212"/>
    <d v="2023-09-08T00:00:00"/>
    <s v="CUST1262"/>
    <s v="Nisha Das"/>
    <x v="5"/>
    <x v="0"/>
    <s v="Tablet"/>
    <n v="4"/>
    <n v="22000"/>
    <n v="0"/>
    <n v="0"/>
    <n v="88000"/>
    <x v="211"/>
    <s v="Net Banking"/>
    <s v="Returned"/>
  </r>
  <r>
    <s v="ORD0213"/>
    <d v="2023-12-11T00:00:00"/>
    <s v="CUST1001"/>
    <s v="Kiran Agarwal"/>
    <x v="0"/>
    <x v="3"/>
    <s v="Data Science 101"/>
    <n v="1"/>
    <n v="599"/>
    <n v="15"/>
    <n v="89.85"/>
    <n v="509.15"/>
    <x v="212"/>
    <s v="UPI"/>
    <s v="Returned"/>
  </r>
  <r>
    <s v="ORD0214"/>
    <d v="2023-06-26T00:00:00"/>
    <s v="CUST1035"/>
    <s v="Kavita Verma"/>
    <x v="6"/>
    <x v="4"/>
    <s v="Moisturizer"/>
    <n v="5"/>
    <n v="450"/>
    <n v="0"/>
    <n v="0"/>
    <n v="2250"/>
    <x v="213"/>
    <s v="Cash on Delivery"/>
    <s v="Delivered"/>
  </r>
  <r>
    <s v="ORD0215"/>
    <d v="2023-03-11T00:00:00"/>
    <s v="CUST1195"/>
    <s v="Arun Mehta"/>
    <x v="1"/>
    <x v="3"/>
    <s v="Finance Book"/>
    <n v="4"/>
    <n v="549"/>
    <n v="10"/>
    <n v="219.6"/>
    <n v="1976.4"/>
    <x v="214"/>
    <s v="UPI"/>
    <s v="Cancelled"/>
  </r>
  <r>
    <s v="ORD0216"/>
    <d v="2023-03-10T00:00:00"/>
    <s v="CUST1275"/>
    <s v="Vijay Tiwari"/>
    <x v="7"/>
    <x v="4"/>
    <s v="Face Wash"/>
    <n v="3"/>
    <n v="250"/>
    <n v="0"/>
    <n v="0"/>
    <n v="750"/>
    <x v="215"/>
    <s v="Credit Card"/>
    <s v="Delivered"/>
  </r>
  <r>
    <s v="ORD0217"/>
    <d v="2023-01-12T00:00:00"/>
    <s v="CUST1421"/>
    <s v="Sneha Singh"/>
    <x v="4"/>
    <x v="1"/>
    <s v="Atta (10kg)"/>
    <n v="5"/>
    <n v="450"/>
    <n v="15"/>
    <n v="337.5"/>
    <n v="1912.5"/>
    <x v="216"/>
    <s v="Debit Card"/>
    <s v="Delivered"/>
  </r>
  <r>
    <s v="ORD0218"/>
    <d v="2023-05-22T00:00:00"/>
    <s v="CUST1214"/>
    <s v="Anjali Sharma"/>
    <x v="2"/>
    <x v="5"/>
    <s v="Shoes"/>
    <n v="1"/>
    <n v="2499"/>
    <n v="0"/>
    <n v="0"/>
    <n v="2499"/>
    <x v="217"/>
    <s v="Credit Card"/>
    <s v="Delivered"/>
  </r>
  <r>
    <s v="ORD0219"/>
    <d v="2023-02-21T00:00:00"/>
    <s v="CUST1446"/>
    <s v="Vivaan Singh"/>
    <x v="5"/>
    <x v="6"/>
    <s v="Cricket Bat"/>
    <n v="4"/>
    <n v="2500"/>
    <n v="20"/>
    <n v="2000"/>
    <n v="8000"/>
    <x v="218"/>
    <s v="Cash on Delivery"/>
    <s v="Returned"/>
  </r>
  <r>
    <s v="ORD0220"/>
    <d v="2023-04-30T00:00:00"/>
    <s v="CUST1148"/>
    <s v="Sneha Agarwal"/>
    <x v="3"/>
    <x v="6"/>
    <s v="Football"/>
    <n v="1"/>
    <n v="800"/>
    <n v="5"/>
    <n v="40"/>
    <n v="760"/>
    <x v="219"/>
    <s v="Net Banking"/>
    <s v="Cancelled"/>
  </r>
  <r>
    <s v="ORD0221"/>
    <d v="2023-12-11T00:00:00"/>
    <s v="CUST1338"/>
    <s v="Suresh Singh"/>
    <x v="1"/>
    <x v="3"/>
    <s v="Data Science 101"/>
    <n v="2"/>
    <n v="599"/>
    <n v="10"/>
    <n v="119.8"/>
    <n v="1078.2"/>
    <x v="220"/>
    <s v="Debit Card"/>
    <s v="Delivered"/>
  </r>
  <r>
    <s v="ORD0222"/>
    <d v="2023-02-01T00:00:00"/>
    <s v="CUST1284"/>
    <s v="Kavita Verma"/>
    <x v="3"/>
    <x v="6"/>
    <s v="Badminton Set"/>
    <n v="2"/>
    <n v="1500"/>
    <n v="25"/>
    <n v="750"/>
    <n v="2250"/>
    <x v="221"/>
    <s v="Cash on Delivery"/>
    <s v="Cancelled"/>
  </r>
  <r>
    <s v="ORD0223"/>
    <d v="2023-06-13T00:00:00"/>
    <s v="CUST1094"/>
    <s v="Deepa Bhat"/>
    <x v="2"/>
    <x v="4"/>
    <s v="Lipstick"/>
    <n v="4"/>
    <n v="650"/>
    <n v="5"/>
    <n v="130"/>
    <n v="2470"/>
    <x v="222"/>
    <s v="Credit Card"/>
    <s v="Delivered"/>
  </r>
  <r>
    <s v="ORD0224"/>
    <d v="2023-12-29T00:00:00"/>
    <s v="CUST1495"/>
    <s v="Nisha Mishra"/>
    <x v="7"/>
    <x v="5"/>
    <s v="Sneakers"/>
    <n v="4"/>
    <n v="3499"/>
    <n v="0"/>
    <n v="0"/>
    <n v="13996"/>
    <x v="223"/>
    <s v="Cash on Delivery"/>
    <s v="Delivered"/>
  </r>
  <r>
    <s v="ORD0225"/>
    <d v="2023-05-11T00:00:00"/>
    <s v="CUST1047"/>
    <s v="Deepa Iyer"/>
    <x v="5"/>
    <x v="5"/>
    <s v="Kurta"/>
    <n v="1"/>
    <n v="799"/>
    <n v="15"/>
    <n v="119.85"/>
    <n v="679.15"/>
    <x v="224"/>
    <s v="Debit Card"/>
    <s v="Returned"/>
  </r>
  <r>
    <s v="ORD0226"/>
    <d v="2023-12-11T00:00:00"/>
    <s v="CUST1389"/>
    <s v="Manish Mishra"/>
    <x v="2"/>
    <x v="6"/>
    <s v="Badminton Set"/>
    <n v="1"/>
    <n v="1500"/>
    <n v="0"/>
    <n v="0"/>
    <n v="1500"/>
    <x v="225"/>
    <s v="Cash on Delivery"/>
    <s v="Delivered"/>
  </r>
  <r>
    <s v="ORD0227"/>
    <d v="2023-06-20T00:00:00"/>
    <s v="CUST1060"/>
    <s v="Kavita Singh"/>
    <x v="2"/>
    <x v="1"/>
    <s v="Rice (5kg)"/>
    <n v="2"/>
    <n v="350"/>
    <n v="5"/>
    <n v="35"/>
    <n v="665"/>
    <x v="226"/>
    <s v="Cash on Delivery"/>
    <s v="Delivered"/>
  </r>
  <r>
    <s v="ORD0228"/>
    <d v="2023-10-10T00:00:00"/>
    <s v="CUST1332"/>
    <s v="Pooja Rao"/>
    <x v="6"/>
    <x v="1"/>
    <s v="Coffee"/>
    <n v="3"/>
    <n v="400"/>
    <n v="15"/>
    <n v="180"/>
    <n v="1020"/>
    <x v="227"/>
    <s v="Debit Card"/>
    <s v="Cancelled"/>
  </r>
  <r>
    <s v="ORD0229"/>
    <d v="2023-09-12T00:00:00"/>
    <s v="CUST1189"/>
    <s v="Arjun Pillai"/>
    <x v="5"/>
    <x v="2"/>
    <s v="Office Chair"/>
    <n v="4"/>
    <n v="8500"/>
    <n v="10"/>
    <n v="3400"/>
    <n v="30600"/>
    <x v="228"/>
    <s v="Net Banking"/>
    <s v="Delivered"/>
  </r>
  <r>
    <s v="ORD0230"/>
    <d v="2023-03-16T00:00:00"/>
    <s v="CUST1213"/>
    <s v="Meera Reddy"/>
    <x v="2"/>
    <x v="0"/>
    <s v="Earbuds"/>
    <n v="5"/>
    <n v="3500"/>
    <n v="20"/>
    <n v="3500"/>
    <n v="14000"/>
    <x v="229"/>
    <s v="Debit Card"/>
    <s v="Delivered"/>
  </r>
  <r>
    <s v="ORD0231"/>
    <d v="2023-07-14T00:00:00"/>
    <s v="CUST1483"/>
    <s v="Arjun Kumar"/>
    <x v="4"/>
    <x v="6"/>
    <s v="Running Shoes"/>
    <n v="2"/>
    <n v="3500"/>
    <n v="15"/>
    <n v="1050"/>
    <n v="5950"/>
    <x v="230"/>
    <s v="Cash on Delivery"/>
    <s v="Returned"/>
  </r>
  <r>
    <s v="ORD0232"/>
    <d v="2023-03-28T00:00:00"/>
    <s v="CUST1279"/>
    <s v="Kavita Nair"/>
    <x v="5"/>
    <x v="4"/>
    <s v="Face Wash"/>
    <n v="3"/>
    <n v="250"/>
    <n v="5"/>
    <n v="37.5"/>
    <n v="712.5"/>
    <x v="231"/>
    <s v="Net Banking"/>
    <s v="Delivered"/>
  </r>
  <r>
    <s v="ORD0233"/>
    <d v="2023-02-08T00:00:00"/>
    <s v="CUST1431"/>
    <s v="Sneha Patel"/>
    <x v="7"/>
    <x v="3"/>
    <s v="Finance Book"/>
    <n v="1"/>
    <n v="549"/>
    <n v="0"/>
    <n v="0"/>
    <n v="549"/>
    <x v="232"/>
    <s v="UPI"/>
    <s v="Delivered"/>
  </r>
  <r>
    <s v="ORD0234"/>
    <d v="2023-09-16T00:00:00"/>
    <s v="CUST1478"/>
    <s v="Anjali Bhat"/>
    <x v="4"/>
    <x v="2"/>
    <s v="Bookshelf"/>
    <n v="1"/>
    <n v="4200"/>
    <n v="20"/>
    <n v="840"/>
    <n v="3360"/>
    <x v="233"/>
    <s v="UPI"/>
    <s v="Delivered"/>
  </r>
  <r>
    <s v="ORD0235"/>
    <d v="2023-09-30T00:00:00"/>
    <s v="CUST1140"/>
    <s v="Deepa Rao"/>
    <x v="5"/>
    <x v="6"/>
    <s v="Dumbbells"/>
    <n v="1"/>
    <n v="2200"/>
    <n v="0"/>
    <n v="0"/>
    <n v="2200"/>
    <x v="234"/>
    <s v="Net Banking"/>
    <s v="Returned"/>
  </r>
  <r>
    <s v="ORD0236"/>
    <d v="2023-04-02T00:00:00"/>
    <s v="CUST1317"/>
    <s v="Suresh Kumar"/>
    <x v="3"/>
    <x v="0"/>
    <s v="Smartphone"/>
    <n v="5"/>
    <n v="18000"/>
    <n v="5"/>
    <n v="4500"/>
    <n v="85500"/>
    <x v="235"/>
    <s v="Debit Card"/>
    <s v="Returned"/>
  </r>
  <r>
    <s v="ORD0237"/>
    <d v="2023-02-10T00:00:00"/>
    <s v="CUST1356"/>
    <s v="Sneha Rao"/>
    <x v="0"/>
    <x v="1"/>
    <s v="Atta (10kg)"/>
    <n v="4"/>
    <n v="450"/>
    <n v="20"/>
    <n v="360"/>
    <n v="1440"/>
    <x v="236"/>
    <s v="UPI"/>
    <s v="Delivered"/>
  </r>
  <r>
    <s v="ORD0238"/>
    <d v="2023-07-27T00:00:00"/>
    <s v="CUST1004"/>
    <s v="Priya Patel"/>
    <x v="4"/>
    <x v="2"/>
    <s v="Wardrobe"/>
    <n v="5"/>
    <n v="18000"/>
    <n v="15"/>
    <n v="13500"/>
    <n v="76500"/>
    <x v="237"/>
    <s v="Cash on Delivery"/>
    <s v="Delivered"/>
  </r>
  <r>
    <s v="ORD0239"/>
    <d v="2023-10-17T00:00:00"/>
    <s v="CUST1461"/>
    <s v="Manish Bhat"/>
    <x v="6"/>
    <x v="3"/>
    <s v="Python Basics"/>
    <n v="5"/>
    <n v="499"/>
    <n v="0"/>
    <n v="0"/>
    <n v="2495"/>
    <x v="238"/>
    <s v="UPI"/>
    <s v="Delivered"/>
  </r>
  <r>
    <s v="ORD0240"/>
    <d v="2023-12-17T00:00:00"/>
    <s v="CUST1475"/>
    <s v="Arjun Sharma"/>
    <x v="2"/>
    <x v="1"/>
    <s v="Sugar (2kg)"/>
    <n v="5"/>
    <n v="90"/>
    <n v="25"/>
    <n v="112.5"/>
    <n v="337.5"/>
    <x v="239"/>
    <s v="Net Banking"/>
    <s v="Delivered"/>
  </r>
  <r>
    <s v="ORD0241"/>
    <d v="2023-12-31T00:00:00"/>
    <s v="CUST1123"/>
    <s v="Manish Mehta"/>
    <x v="3"/>
    <x v="3"/>
    <s v="SQL Guide"/>
    <n v="1"/>
    <n v="449"/>
    <n v="10"/>
    <n v="44.9"/>
    <n v="404.1"/>
    <x v="240"/>
    <s v="Cash on Delivery"/>
    <s v="Delivered"/>
  </r>
  <r>
    <s v="ORD0242"/>
    <d v="2023-12-19T00:00:00"/>
    <s v="CUST1027"/>
    <s v="Diya Pillai"/>
    <x v="2"/>
    <x v="4"/>
    <s v="Moisturizer"/>
    <n v="5"/>
    <n v="450"/>
    <n v="25"/>
    <n v="562.5"/>
    <n v="1687.5"/>
    <x v="241"/>
    <s v="UPI"/>
    <s v="Delivered"/>
  </r>
  <r>
    <s v="ORD0243"/>
    <d v="2023-11-06T00:00:00"/>
    <s v="CUST1167"/>
    <s v="Aarav Kumar"/>
    <x v="4"/>
    <x v="3"/>
    <s v="Business Analytics"/>
    <n v="5"/>
    <n v="699"/>
    <n v="15"/>
    <n v="524.25"/>
    <n v="2970.75"/>
    <x v="242"/>
    <s v="Cash on Delivery"/>
    <s v="Delivered"/>
  </r>
  <r>
    <s v="ORD0244"/>
    <d v="2023-07-02T00:00:00"/>
    <s v="CUST1338"/>
    <s v="Vijay Patel"/>
    <x v="6"/>
    <x v="6"/>
    <s v="Dumbbells"/>
    <n v="4"/>
    <n v="2200"/>
    <n v="5"/>
    <n v="440"/>
    <n v="8360"/>
    <x v="243"/>
    <s v="Credit Card"/>
    <s v="Delivered"/>
  </r>
  <r>
    <s v="ORD0245"/>
    <d v="2023-02-12T00:00:00"/>
    <s v="CUST1078"/>
    <s v="Vijay Joshi"/>
    <x v="3"/>
    <x v="1"/>
    <s v="Dal (1kg)"/>
    <n v="4"/>
    <n v="120"/>
    <n v="25"/>
    <n v="120"/>
    <n v="360"/>
    <x v="244"/>
    <s v="UPI"/>
    <s v="Delivered"/>
  </r>
  <r>
    <s v="ORD0246"/>
    <d v="2023-01-03T00:00:00"/>
    <s v="CUST1044"/>
    <s v="Priya Pillai"/>
    <x v="4"/>
    <x v="1"/>
    <s v="Atta (10kg)"/>
    <n v="3"/>
    <n v="450"/>
    <n v="10"/>
    <n v="135"/>
    <n v="1215"/>
    <x v="245"/>
    <s v="Net Banking"/>
    <s v="Cancelled"/>
  </r>
  <r>
    <s v="ORD0247"/>
    <d v="2023-09-20T00:00:00"/>
    <s v="CUST1047"/>
    <s v="Anjali Khanna"/>
    <x v="3"/>
    <x v="2"/>
    <s v="Office Chair"/>
    <n v="1"/>
    <n v="8500"/>
    <n v="0"/>
    <n v="0"/>
    <n v="8500"/>
    <x v="246"/>
    <s v="Cash on Delivery"/>
    <s v="Delivered"/>
  </r>
  <r>
    <s v="ORD0248"/>
    <d v="2023-05-30T00:00:00"/>
    <s v="CUST1463"/>
    <s v="Sneha Agarwal"/>
    <x v="7"/>
    <x v="2"/>
    <s v="Wardrobe"/>
    <n v="1"/>
    <n v="18000"/>
    <n v="25"/>
    <n v="4500"/>
    <n v="13500"/>
    <x v="247"/>
    <s v="Cash on Delivery"/>
    <s v="Delivered"/>
  </r>
  <r>
    <s v="ORD0249"/>
    <d v="2023-03-13T00:00:00"/>
    <s v="CUST1085"/>
    <s v="Nisha Kumar"/>
    <x v="1"/>
    <x v="1"/>
    <s v="Oil (1L)"/>
    <n v="3"/>
    <n v="180"/>
    <n v="15"/>
    <n v="81"/>
    <n v="459"/>
    <x v="248"/>
    <s v="Debit Card"/>
    <s v="Returned"/>
  </r>
  <r>
    <s v="ORD0250"/>
    <d v="2023-02-09T00:00:00"/>
    <s v="CUST1304"/>
    <s v="Anjali Iyer"/>
    <x v="4"/>
    <x v="1"/>
    <s v="Oil (1L)"/>
    <n v="2"/>
    <n v="180"/>
    <n v="25"/>
    <n v="90"/>
    <n v="270"/>
    <x v="249"/>
    <s v="UPI"/>
    <s v="Delivered"/>
  </r>
  <r>
    <s v="ORD0251"/>
    <d v="2023-06-05T00:00:00"/>
    <s v="CUST1441"/>
    <s v="Arjun Das"/>
    <x v="3"/>
    <x v="0"/>
    <s v="Smartwatch"/>
    <n v="3"/>
    <n v="8000"/>
    <n v="20"/>
    <n v="4800"/>
    <n v="19200"/>
    <x v="250"/>
    <s v="Cash on Delivery"/>
    <s v="Cancelled"/>
  </r>
  <r>
    <s v="ORD0252"/>
    <d v="2023-03-11T00:00:00"/>
    <s v="CUST1160"/>
    <s v="Priya Mehta"/>
    <x v="3"/>
    <x v="1"/>
    <s v="Oil (1L)"/>
    <n v="5"/>
    <n v="180"/>
    <n v="25"/>
    <n v="225"/>
    <n v="675"/>
    <x v="251"/>
    <s v="Debit Card"/>
    <s v="Returned"/>
  </r>
  <r>
    <s v="ORD0253"/>
    <d v="2023-10-22T00:00:00"/>
    <s v="CUST1402"/>
    <s v="Vijay Shah"/>
    <x v="0"/>
    <x v="3"/>
    <s v="Excel Mastery"/>
    <n v="3"/>
    <n v="399"/>
    <n v="15"/>
    <n v="179.55"/>
    <n v="1017.45"/>
    <x v="252"/>
    <s v="Net Banking"/>
    <s v="Delivered"/>
  </r>
  <r>
    <s v="ORD0254"/>
    <d v="2023-10-31T00:00:00"/>
    <s v="CUST1236"/>
    <s v="Kiran Das"/>
    <x v="6"/>
    <x v="6"/>
    <s v="Football"/>
    <n v="5"/>
    <n v="800"/>
    <n v="0"/>
    <n v="0"/>
    <n v="4000"/>
    <x v="253"/>
    <s v="UPI"/>
    <s v="Returned"/>
  </r>
  <r>
    <s v="ORD0255"/>
    <d v="2023-12-11T00:00:00"/>
    <s v="CUST1078"/>
    <s v="Nisha Mehta"/>
    <x v="0"/>
    <x v="2"/>
    <s v="Study Table"/>
    <n v="3"/>
    <n v="6500"/>
    <n v="5"/>
    <n v="975"/>
    <n v="18525"/>
    <x v="254"/>
    <s v="Cash on Delivery"/>
    <s v="Cancelled"/>
  </r>
  <r>
    <s v="ORD0256"/>
    <d v="2023-09-03T00:00:00"/>
    <s v="CUST1445"/>
    <s v="Nisha Mishra"/>
    <x v="5"/>
    <x v="6"/>
    <s v="Dumbbells"/>
    <n v="5"/>
    <n v="2200"/>
    <n v="20"/>
    <n v="2200"/>
    <n v="8800"/>
    <x v="255"/>
    <s v="Debit Card"/>
    <s v="Cancelled"/>
  </r>
  <r>
    <s v="ORD0257"/>
    <d v="2023-11-01T00:00:00"/>
    <s v="CUST1181"/>
    <s v="Priya Khanna"/>
    <x v="5"/>
    <x v="4"/>
    <s v="Moisturizer"/>
    <n v="1"/>
    <n v="450"/>
    <n v="5"/>
    <n v="22.5"/>
    <n v="427.5"/>
    <x v="256"/>
    <s v="Net Banking"/>
    <s v="Returned"/>
  </r>
  <r>
    <s v="ORD0258"/>
    <d v="2023-06-19T00:00:00"/>
    <s v="CUST1113"/>
    <s v="Suresh Tiwari"/>
    <x v="2"/>
    <x v="3"/>
    <s v="SQL Guide"/>
    <n v="1"/>
    <n v="449"/>
    <n v="0"/>
    <n v="0"/>
    <n v="449"/>
    <x v="257"/>
    <s v="Cash on Delivery"/>
    <s v="Delivered"/>
  </r>
  <r>
    <s v="ORD0259"/>
    <d v="2023-07-20T00:00:00"/>
    <s v="CUST1176"/>
    <s v="Aarav Bhat"/>
    <x v="0"/>
    <x v="2"/>
    <s v="Side Table"/>
    <n v="5"/>
    <n v="3200"/>
    <n v="25"/>
    <n v="4000"/>
    <n v="12000"/>
    <x v="258"/>
    <s v="Debit Card"/>
    <s v="Returned"/>
  </r>
  <r>
    <s v="ORD0260"/>
    <d v="2023-02-13T00:00:00"/>
    <s v="CUST1233"/>
    <s v="Kiran Tiwari"/>
    <x v="4"/>
    <x v="0"/>
    <s v="Speaker"/>
    <n v="2"/>
    <n v="4500"/>
    <n v="10"/>
    <n v="900"/>
    <n v="8100"/>
    <x v="259"/>
    <s v="Debit Card"/>
    <s v="Returned"/>
  </r>
  <r>
    <s v="ORD0261"/>
    <d v="2023-02-19T00:00:00"/>
    <s v="CUST1022"/>
    <s v="Diya Sharma"/>
    <x v="3"/>
    <x v="2"/>
    <s v="Bed Frame"/>
    <n v="4"/>
    <n v="15000"/>
    <n v="10"/>
    <n v="6000"/>
    <n v="54000"/>
    <x v="260"/>
    <s v="UPI"/>
    <s v="Delivered"/>
  </r>
  <r>
    <s v="ORD0262"/>
    <d v="2023-05-05T00:00:00"/>
    <s v="CUST1218"/>
    <s v="Arun Singh"/>
    <x v="1"/>
    <x v="6"/>
    <s v="Football"/>
    <n v="5"/>
    <n v="800"/>
    <n v="5"/>
    <n v="200"/>
    <n v="3800"/>
    <x v="261"/>
    <s v="Credit Card"/>
    <s v="Delivered"/>
  </r>
  <r>
    <s v="ORD0263"/>
    <d v="2023-11-24T00:00:00"/>
    <s v="CUST1452"/>
    <s v="Kiran Das"/>
    <x v="1"/>
    <x v="4"/>
    <s v="Lipstick"/>
    <n v="4"/>
    <n v="650"/>
    <n v="0"/>
    <n v="0"/>
    <n v="2600"/>
    <x v="262"/>
    <s v="Cash on Delivery"/>
    <s v="Delivered"/>
  </r>
  <r>
    <s v="ORD0264"/>
    <d v="2023-12-27T00:00:00"/>
    <s v="CUST1032"/>
    <s v="Manish Gupta"/>
    <x v="7"/>
    <x v="5"/>
    <s v="Jeans"/>
    <n v="3"/>
    <n v="1299"/>
    <n v="25"/>
    <n v="974.25"/>
    <n v="2922.75"/>
    <x v="263"/>
    <s v="Debit Card"/>
    <s v="Delivered"/>
  </r>
  <r>
    <s v="ORD0265"/>
    <d v="2023-04-11T00:00:00"/>
    <s v="CUST1270"/>
    <s v="Arjun Khanna"/>
    <x v="1"/>
    <x v="2"/>
    <s v="Office Chair"/>
    <n v="3"/>
    <n v="8500"/>
    <n v="25"/>
    <n v="6375"/>
    <n v="19125"/>
    <x v="264"/>
    <s v="Net Banking"/>
    <s v="Returned"/>
  </r>
  <r>
    <s v="ORD0266"/>
    <d v="2023-10-28T00:00:00"/>
    <s v="CUST1416"/>
    <s v="Meera Khanna"/>
    <x v="0"/>
    <x v="0"/>
    <s v="Earbuds"/>
    <n v="3"/>
    <n v="3500"/>
    <n v="15"/>
    <n v="1575"/>
    <n v="8925"/>
    <x v="265"/>
    <s v="Credit Card"/>
    <s v="Delivered"/>
  </r>
  <r>
    <s v="ORD0267"/>
    <d v="2023-03-02T00:00:00"/>
    <s v="CUST1072"/>
    <s v="Suresh Mehta"/>
    <x v="1"/>
    <x v="5"/>
    <s v="Kurta"/>
    <n v="1"/>
    <n v="799"/>
    <n v="5"/>
    <n v="39.950000000000003"/>
    <n v="759.05"/>
    <x v="266"/>
    <s v="Net Banking"/>
    <s v="Delivered"/>
  </r>
  <r>
    <s v="ORD0268"/>
    <d v="2023-10-22T00:00:00"/>
    <s v="CUST1355"/>
    <s v="Priya Mishra"/>
    <x v="7"/>
    <x v="2"/>
    <s v="Wardrobe"/>
    <n v="2"/>
    <n v="18000"/>
    <n v="15"/>
    <n v="5400"/>
    <n v="30600"/>
    <x v="267"/>
    <s v="Cash on Delivery"/>
    <s v="Delivered"/>
  </r>
  <r>
    <s v="ORD0269"/>
    <d v="2023-03-13T00:00:00"/>
    <s v="CUST1183"/>
    <s v="Aarav Bhat"/>
    <x v="7"/>
    <x v="5"/>
    <s v="Kurta"/>
    <n v="4"/>
    <n v="799"/>
    <n v="20"/>
    <n v="639.20000000000005"/>
    <n v="2556.8000000000002"/>
    <x v="268"/>
    <s v="Credit Card"/>
    <s v="Returned"/>
  </r>
  <r>
    <s v="ORD0270"/>
    <d v="2023-10-15T00:00:00"/>
    <s v="CUST1212"/>
    <s v="Arun Bhat"/>
    <x v="7"/>
    <x v="6"/>
    <s v="Cycle"/>
    <n v="4"/>
    <n v="12000"/>
    <n v="15"/>
    <n v="7200"/>
    <n v="40800"/>
    <x v="269"/>
    <s v="UPI"/>
    <s v="Cancelled"/>
  </r>
  <r>
    <s v="ORD0271"/>
    <d v="2023-01-16T00:00:00"/>
    <s v="CUST1115"/>
    <s v="Deepa Rao"/>
    <x v="7"/>
    <x v="3"/>
    <s v="Novel"/>
    <n v="2"/>
    <n v="299"/>
    <n v="10"/>
    <n v="59.8"/>
    <n v="538.20000000000005"/>
    <x v="270"/>
    <s v="Cash on Delivery"/>
    <s v="Cancelled"/>
  </r>
  <r>
    <s v="ORD0272"/>
    <d v="2023-09-11T00:00:00"/>
    <s v="CUST1396"/>
    <s v="Deepa Shah"/>
    <x v="5"/>
    <x v="6"/>
    <s v="Badminton Set"/>
    <n v="1"/>
    <n v="1500"/>
    <n v="20"/>
    <n v="300"/>
    <n v="1200"/>
    <x v="271"/>
    <s v="Cash on Delivery"/>
    <s v="Cancelled"/>
  </r>
  <r>
    <s v="ORD0273"/>
    <d v="2023-04-22T00:00:00"/>
    <s v="CUST1016"/>
    <s v="Arun Kumar"/>
    <x v="3"/>
    <x v="2"/>
    <s v="Office Chair"/>
    <n v="2"/>
    <n v="8500"/>
    <n v="10"/>
    <n v="1700"/>
    <n v="15300"/>
    <x v="272"/>
    <s v="UPI"/>
    <s v="Returned"/>
  </r>
  <r>
    <s v="ORD0274"/>
    <d v="2023-03-02T00:00:00"/>
    <s v="CUST1301"/>
    <s v="Pooja Khanna"/>
    <x v="1"/>
    <x v="3"/>
    <s v="Novel"/>
    <n v="2"/>
    <n v="299"/>
    <n v="5"/>
    <n v="29.9"/>
    <n v="568.1"/>
    <x v="273"/>
    <s v="Credit Card"/>
    <s v="Cancelled"/>
  </r>
  <r>
    <s v="ORD0275"/>
    <d v="2023-03-13T00:00:00"/>
    <s v="CUST1272"/>
    <s v="Rahul Khanna"/>
    <x v="7"/>
    <x v="3"/>
    <s v="Excel Mastery"/>
    <n v="2"/>
    <n v="399"/>
    <n v="0"/>
    <n v="0"/>
    <n v="798"/>
    <x v="274"/>
    <s v="Debit Card"/>
    <s v="Delivered"/>
  </r>
  <r>
    <s v="ORD0276"/>
    <d v="2023-05-29T00:00:00"/>
    <s v="CUST1069"/>
    <s v="Nisha Verma"/>
    <x v="6"/>
    <x v="6"/>
    <s v="Yoga Mat"/>
    <n v="5"/>
    <n v="700"/>
    <n v="25"/>
    <n v="875"/>
    <n v="2625"/>
    <x v="275"/>
    <s v="Credit Card"/>
    <s v="Delivered"/>
  </r>
  <r>
    <s v="ORD0277"/>
    <d v="2023-05-08T00:00:00"/>
    <s v="CUST1346"/>
    <s v="Vijay Bhat"/>
    <x v="7"/>
    <x v="5"/>
    <s v="Shoes"/>
    <n v="3"/>
    <n v="2499"/>
    <n v="5"/>
    <n v="374.85"/>
    <n v="7122.15"/>
    <x v="276"/>
    <s v="Net Banking"/>
    <s v="Delivered"/>
  </r>
  <r>
    <s v="ORD0278"/>
    <d v="2023-11-18T00:00:00"/>
    <s v="CUST1450"/>
    <s v="Ananya Mehta"/>
    <x v="6"/>
    <x v="2"/>
    <s v="Wardrobe"/>
    <n v="4"/>
    <n v="18000"/>
    <n v="0"/>
    <n v="0"/>
    <n v="72000"/>
    <x v="277"/>
    <s v="Debit Card"/>
    <s v="Returned"/>
  </r>
  <r>
    <s v="ORD0279"/>
    <d v="2023-09-07T00:00:00"/>
    <s v="CUST1497"/>
    <s v="Arun Shah"/>
    <x v="0"/>
    <x v="1"/>
    <s v="Sugar (2kg)"/>
    <n v="1"/>
    <n v="90"/>
    <n v="25"/>
    <n v="22.5"/>
    <n v="67.5"/>
    <x v="278"/>
    <s v="Net Banking"/>
    <s v="Returned"/>
  </r>
  <r>
    <s v="ORD0280"/>
    <d v="2023-04-22T00:00:00"/>
    <s v="CUST1424"/>
    <s v="Meera Joshi"/>
    <x v="7"/>
    <x v="2"/>
    <s v="Side Table"/>
    <n v="2"/>
    <n v="3200"/>
    <n v="15"/>
    <n v="960"/>
    <n v="5440"/>
    <x v="279"/>
    <s v="Net Banking"/>
    <s v="Returned"/>
  </r>
  <r>
    <s v="ORD0281"/>
    <d v="2023-06-25T00:00:00"/>
    <s v="CUST1401"/>
    <s v="Arun Sharma"/>
    <x v="0"/>
    <x v="4"/>
    <s v="Face Wash"/>
    <n v="1"/>
    <n v="250"/>
    <n v="0"/>
    <n v="0"/>
    <n v="250"/>
    <x v="280"/>
    <s v="Credit Card"/>
    <s v="Returned"/>
  </r>
  <r>
    <s v="ORD0282"/>
    <d v="2023-08-22T00:00:00"/>
    <s v="CUST1451"/>
    <s v="Meera Nair"/>
    <x v="6"/>
    <x v="0"/>
    <s v="Smartwatch"/>
    <n v="2"/>
    <n v="8000"/>
    <n v="25"/>
    <n v="4000"/>
    <n v="12000"/>
    <x v="281"/>
    <s v="UPI"/>
    <s v="Delivered"/>
  </r>
  <r>
    <s v="ORD0283"/>
    <d v="2023-05-09T00:00:00"/>
    <s v="CUST1156"/>
    <s v="Sneha Pillai"/>
    <x v="0"/>
    <x v="0"/>
    <s v="Earbuds"/>
    <n v="2"/>
    <n v="3500"/>
    <n v="0"/>
    <n v="0"/>
    <n v="7000"/>
    <x v="282"/>
    <s v="UPI"/>
    <s v="Delivered"/>
  </r>
  <r>
    <s v="ORD0284"/>
    <d v="2023-04-20T00:00:00"/>
    <s v="CUST1348"/>
    <s v="Arun Sharma"/>
    <x v="5"/>
    <x v="2"/>
    <s v="Office Chair"/>
    <n v="2"/>
    <n v="8500"/>
    <n v="20"/>
    <n v="3400"/>
    <n v="13600"/>
    <x v="283"/>
    <s v="Debit Card"/>
    <s v="Delivered"/>
  </r>
  <r>
    <s v="ORD0285"/>
    <d v="2023-08-05T00:00:00"/>
    <s v="CUST1045"/>
    <s v="Diya Gupta"/>
    <x v="3"/>
    <x v="4"/>
    <s v="Shampoo"/>
    <n v="4"/>
    <n v="300"/>
    <n v="0"/>
    <n v="0"/>
    <n v="1200"/>
    <x v="284"/>
    <s v="Debit Card"/>
    <s v="Delivered"/>
  </r>
  <r>
    <s v="ORD0286"/>
    <d v="2023-03-12T00:00:00"/>
    <s v="CUST1073"/>
    <s v="Ananya Tiwari"/>
    <x v="5"/>
    <x v="2"/>
    <s v="Side Table"/>
    <n v="2"/>
    <n v="3200"/>
    <n v="25"/>
    <n v="1600"/>
    <n v="4800"/>
    <x v="285"/>
    <s v="Net Banking"/>
    <s v="Delivered"/>
  </r>
  <r>
    <s v="ORD0287"/>
    <d v="2023-08-14T00:00:00"/>
    <s v="CUST1470"/>
    <s v="Nisha Khanna"/>
    <x v="4"/>
    <x v="1"/>
    <s v="Tea Powder"/>
    <n v="2"/>
    <n v="250"/>
    <n v="25"/>
    <n v="125"/>
    <n v="375"/>
    <x v="286"/>
    <s v="Credit Card"/>
    <s v="Delivered"/>
  </r>
  <r>
    <s v="ORD0288"/>
    <d v="2023-02-21T00:00:00"/>
    <s v="CUST1179"/>
    <s v="Nisha Joshi"/>
    <x v="7"/>
    <x v="5"/>
    <s v="Sneakers"/>
    <n v="1"/>
    <n v="3499"/>
    <n v="20"/>
    <n v="699.8"/>
    <n v="2799.2"/>
    <x v="287"/>
    <s v="Credit Card"/>
    <s v="Delivered"/>
  </r>
  <r>
    <s v="ORD0289"/>
    <d v="2023-11-27T00:00:00"/>
    <s v="CUST1311"/>
    <s v="Meera Sharma"/>
    <x v="6"/>
    <x v="0"/>
    <s v="Laptop"/>
    <n v="5"/>
    <n v="55000"/>
    <n v="20"/>
    <n v="55000"/>
    <n v="220000"/>
    <x v="288"/>
    <s v="Credit Card"/>
    <s v="Cancelled"/>
  </r>
  <r>
    <s v="ORD0290"/>
    <d v="2023-11-07T00:00:00"/>
    <s v="CUST1401"/>
    <s v="Sneha Bhat"/>
    <x v="1"/>
    <x v="6"/>
    <s v="Football"/>
    <n v="4"/>
    <n v="800"/>
    <n v="10"/>
    <n v="320"/>
    <n v="2880"/>
    <x v="289"/>
    <s v="UPI"/>
    <s v="Delivered"/>
  </r>
  <r>
    <s v="ORD0291"/>
    <d v="2023-09-13T00:00:00"/>
    <s v="CUST1006"/>
    <s v="Pooja Joshi"/>
    <x v="7"/>
    <x v="4"/>
    <s v="Foundation"/>
    <n v="1"/>
    <n v="850"/>
    <n v="20"/>
    <n v="170"/>
    <n v="680"/>
    <x v="290"/>
    <s v="Cash on Delivery"/>
    <s v="Cancelled"/>
  </r>
  <r>
    <s v="ORD0292"/>
    <d v="2023-08-04T00:00:00"/>
    <s v="CUST1394"/>
    <s v="Ananya Sharma"/>
    <x v="0"/>
    <x v="1"/>
    <s v="Sugar (2kg)"/>
    <n v="2"/>
    <n v="90"/>
    <n v="15"/>
    <n v="27"/>
    <n v="153"/>
    <x v="291"/>
    <s v="UPI"/>
    <s v="Delivered"/>
  </r>
  <r>
    <s v="ORD0293"/>
    <d v="2023-04-21T00:00:00"/>
    <s v="CUST1364"/>
    <s v="Suresh Pillai"/>
    <x v="1"/>
    <x v="0"/>
    <s v="Smartphone"/>
    <n v="4"/>
    <n v="18000"/>
    <n v="20"/>
    <n v="14400"/>
    <n v="57600"/>
    <x v="292"/>
    <s v="Cash on Delivery"/>
    <s v="Delivered"/>
  </r>
  <r>
    <s v="ORD0294"/>
    <d v="2023-11-24T00:00:00"/>
    <s v="CUST1158"/>
    <s v="Ananya Tiwari"/>
    <x v="2"/>
    <x v="6"/>
    <s v="Badminton Set"/>
    <n v="5"/>
    <n v="1500"/>
    <n v="5"/>
    <n v="375"/>
    <n v="7125"/>
    <x v="293"/>
    <s v="Credit Card"/>
    <s v="Cancelled"/>
  </r>
  <r>
    <s v="ORD0295"/>
    <d v="2023-06-17T00:00:00"/>
    <s v="CUST1373"/>
    <s v="Sneha Verma"/>
    <x v="2"/>
    <x v="2"/>
    <s v="Sofa"/>
    <n v="1"/>
    <n v="25000"/>
    <n v="10"/>
    <n v="2500"/>
    <n v="22500"/>
    <x v="294"/>
    <s v="UPI"/>
    <s v="Returned"/>
  </r>
  <r>
    <s v="ORD0296"/>
    <d v="2023-03-01T00:00:00"/>
    <s v="CUST1379"/>
    <s v="Priya Gupta"/>
    <x v="5"/>
    <x v="2"/>
    <s v="Sofa"/>
    <n v="5"/>
    <n v="25000"/>
    <n v="0"/>
    <n v="0"/>
    <n v="125000"/>
    <x v="295"/>
    <s v="Credit Card"/>
    <s v="Delivered"/>
  </r>
  <r>
    <s v="ORD0297"/>
    <d v="2023-03-25T00:00:00"/>
    <s v="CUST1369"/>
    <s v="Rahul Nair"/>
    <x v="3"/>
    <x v="2"/>
    <s v="Bookshelf"/>
    <n v="5"/>
    <n v="4200"/>
    <n v="20"/>
    <n v="4200"/>
    <n v="16800"/>
    <x v="296"/>
    <s v="Credit Card"/>
    <s v="Delivered"/>
  </r>
  <r>
    <s v="ORD0298"/>
    <d v="2023-03-02T00:00:00"/>
    <s v="CUST1032"/>
    <s v="Rahul Agarwal"/>
    <x v="0"/>
    <x v="3"/>
    <s v="Python Basics"/>
    <n v="3"/>
    <n v="499"/>
    <n v="15"/>
    <n v="224.55"/>
    <n v="1272.45"/>
    <x v="297"/>
    <s v="Cash on Delivery"/>
    <s v="Returned"/>
  </r>
  <r>
    <s v="ORD0299"/>
    <d v="2023-09-19T00:00:00"/>
    <s v="CUST1080"/>
    <s v="Rahul Gupta"/>
    <x v="0"/>
    <x v="1"/>
    <s v="Rice (5kg)"/>
    <n v="4"/>
    <n v="350"/>
    <n v="20"/>
    <n v="280"/>
    <n v="1120"/>
    <x v="298"/>
    <s v="Credit Card"/>
    <s v="Cancelled"/>
  </r>
  <r>
    <s v="ORD0300"/>
    <d v="2023-01-02T00:00:00"/>
    <s v="CUST1186"/>
    <s v="Vijay Reddy"/>
    <x v="7"/>
    <x v="0"/>
    <s v="Speaker"/>
    <n v="1"/>
    <n v="4500"/>
    <n v="5"/>
    <n v="225"/>
    <n v="4275"/>
    <x v="299"/>
    <s v="UPI"/>
    <s v="Cancelled"/>
  </r>
  <r>
    <s v="ORD0301"/>
    <d v="2023-12-02T00:00:00"/>
    <s v="CUST1368"/>
    <s v="Arjun Kumar"/>
    <x v="0"/>
    <x v="2"/>
    <s v="Study Table"/>
    <n v="3"/>
    <n v="6500"/>
    <n v="5"/>
    <n v="975"/>
    <n v="18525"/>
    <x v="300"/>
    <s v="Net Banking"/>
    <s v="Delivered"/>
  </r>
  <r>
    <s v="ORD0302"/>
    <d v="2023-03-03T00:00:00"/>
    <s v="CUST1264"/>
    <s v="Vivaan Mehta"/>
    <x v="0"/>
    <x v="6"/>
    <s v="Cycle"/>
    <n v="1"/>
    <n v="12000"/>
    <n v="5"/>
    <n v="600"/>
    <n v="11400"/>
    <x v="301"/>
    <s v="Cash on Delivery"/>
    <s v="Delivered"/>
  </r>
  <r>
    <s v="ORD0303"/>
    <d v="2023-06-09T00:00:00"/>
    <s v="CUST1102"/>
    <s v="Meera Agarwal"/>
    <x v="6"/>
    <x v="1"/>
    <s v="Rice (5kg)"/>
    <n v="5"/>
    <n v="350"/>
    <n v="15"/>
    <n v="262.5"/>
    <n v="1487.5"/>
    <x v="302"/>
    <s v="Net Banking"/>
    <s v="Delivered"/>
  </r>
  <r>
    <s v="ORD0304"/>
    <d v="2023-08-26T00:00:00"/>
    <s v="CUST1279"/>
    <s v="Sneha Reddy"/>
    <x v="5"/>
    <x v="1"/>
    <s v="Sugar (2kg)"/>
    <n v="4"/>
    <n v="90"/>
    <n v="5"/>
    <n v="18"/>
    <n v="342"/>
    <x v="303"/>
    <s v="Cash on Delivery"/>
    <s v="Delivered"/>
  </r>
  <r>
    <s v="ORD0305"/>
    <d v="2023-04-30T00:00:00"/>
    <s v="CUST1336"/>
    <s v="Vijay Rao"/>
    <x v="0"/>
    <x v="6"/>
    <s v="Yoga Mat"/>
    <n v="1"/>
    <n v="700"/>
    <n v="10"/>
    <n v="70"/>
    <n v="630"/>
    <x v="304"/>
    <s v="Credit Card"/>
    <s v="Cancelled"/>
  </r>
  <r>
    <s v="ORD0306"/>
    <d v="2023-05-02T00:00:00"/>
    <s v="CUST1047"/>
    <s v="Vivaan Singh"/>
    <x v="1"/>
    <x v="2"/>
    <s v="Wardrobe"/>
    <n v="1"/>
    <n v="18000"/>
    <n v="5"/>
    <n v="900"/>
    <n v="17100"/>
    <x v="305"/>
    <s v="Debit Card"/>
    <s v="Returned"/>
  </r>
  <r>
    <s v="ORD0307"/>
    <d v="2023-02-13T00:00:00"/>
    <s v="CUST1201"/>
    <s v="Ananya Agarwal"/>
    <x v="5"/>
    <x v="6"/>
    <s v="Cricket Bat"/>
    <n v="5"/>
    <n v="2500"/>
    <n v="5"/>
    <n v="625"/>
    <n v="11875"/>
    <x v="306"/>
    <s v="Cash on Delivery"/>
    <s v="Delivered"/>
  </r>
  <r>
    <s v="ORD0308"/>
    <d v="2023-05-02T00:00:00"/>
    <s v="CUST1376"/>
    <s v="Arjun Joshi"/>
    <x v="4"/>
    <x v="1"/>
    <s v="Oil (1L)"/>
    <n v="3"/>
    <n v="180"/>
    <n v="15"/>
    <n v="81"/>
    <n v="459"/>
    <x v="307"/>
    <s v="Debit Card"/>
    <s v="Delivered"/>
  </r>
  <r>
    <s v="ORD0309"/>
    <d v="2023-02-08T00:00:00"/>
    <s v="CUST1084"/>
    <s v="Arun Das"/>
    <x v="3"/>
    <x v="5"/>
    <s v="Jeans"/>
    <n v="5"/>
    <n v="1299"/>
    <n v="0"/>
    <n v="0"/>
    <n v="6495"/>
    <x v="308"/>
    <s v="Cash on Delivery"/>
    <s v="Delivered"/>
  </r>
  <r>
    <s v="ORD0310"/>
    <d v="2023-10-02T00:00:00"/>
    <s v="CUST1135"/>
    <s v="Diya Patel"/>
    <x v="7"/>
    <x v="1"/>
    <s v="Coffee"/>
    <n v="2"/>
    <n v="400"/>
    <n v="15"/>
    <n v="120"/>
    <n v="680"/>
    <x v="309"/>
    <s v="Debit Card"/>
    <s v="Cancelled"/>
  </r>
  <r>
    <s v="ORD0311"/>
    <d v="2023-01-21T00:00:00"/>
    <s v="CUST1127"/>
    <s v="Pooja Mehta"/>
    <x v="5"/>
    <x v="5"/>
    <s v="Sneakers"/>
    <n v="3"/>
    <n v="3499"/>
    <n v="5"/>
    <n v="524.85"/>
    <n v="9972.15"/>
    <x v="310"/>
    <s v="Debit Card"/>
    <s v="Delivered"/>
  </r>
  <r>
    <s v="ORD0312"/>
    <d v="2023-03-31T00:00:00"/>
    <s v="CUST1127"/>
    <s v="Diya Das"/>
    <x v="0"/>
    <x v="0"/>
    <s v="Smartwatch"/>
    <n v="4"/>
    <n v="8000"/>
    <n v="20"/>
    <n v="6400"/>
    <n v="25600"/>
    <x v="311"/>
    <s v="Credit Card"/>
    <s v="Delivered"/>
  </r>
  <r>
    <s v="ORD0313"/>
    <d v="2023-01-07T00:00:00"/>
    <s v="CUST1205"/>
    <s v="Pooja Patel"/>
    <x v="6"/>
    <x v="0"/>
    <s v="Speaker"/>
    <n v="2"/>
    <n v="4500"/>
    <n v="5"/>
    <n v="450"/>
    <n v="8550"/>
    <x v="312"/>
    <s v="UPI"/>
    <s v="Delivered"/>
  </r>
  <r>
    <s v="ORD0314"/>
    <d v="2023-02-03T00:00:00"/>
    <s v="CUST1433"/>
    <s v="Arjun Gupta"/>
    <x v="5"/>
    <x v="5"/>
    <s v="Shoes"/>
    <n v="4"/>
    <n v="2499"/>
    <n v="5"/>
    <n v="499.8"/>
    <n v="9496.2000000000007"/>
    <x v="313"/>
    <s v="Cash on Delivery"/>
    <s v="Delivered"/>
  </r>
  <r>
    <s v="ORD0315"/>
    <d v="2023-03-28T00:00:00"/>
    <s v="CUST1349"/>
    <s v="Nisha Nair"/>
    <x v="3"/>
    <x v="6"/>
    <s v="Dumbbells"/>
    <n v="4"/>
    <n v="2200"/>
    <n v="15"/>
    <n v="1320"/>
    <n v="7480"/>
    <x v="314"/>
    <s v="Credit Card"/>
    <s v="Delivered"/>
  </r>
  <r>
    <s v="ORD0316"/>
    <d v="2023-05-21T00:00:00"/>
    <s v="CUST1315"/>
    <s v="Sneha Rao"/>
    <x v="4"/>
    <x v="1"/>
    <s v="Atta (10kg)"/>
    <n v="2"/>
    <n v="450"/>
    <n v="0"/>
    <n v="0"/>
    <n v="900"/>
    <x v="315"/>
    <s v="Cash on Delivery"/>
    <s v="Cancelled"/>
  </r>
  <r>
    <s v="ORD0317"/>
    <d v="2023-09-03T00:00:00"/>
    <s v="CUST1102"/>
    <s v="Suresh Singh"/>
    <x v="5"/>
    <x v="0"/>
    <s v="Smartphone"/>
    <n v="3"/>
    <n v="18000"/>
    <n v="15"/>
    <n v="8100"/>
    <n v="45900"/>
    <x v="316"/>
    <s v="Cash on Delivery"/>
    <s v="Delivered"/>
  </r>
  <r>
    <s v="ORD0318"/>
    <d v="2023-09-03T00:00:00"/>
    <s v="CUST1257"/>
    <s v="Arjun Mehta"/>
    <x v="6"/>
    <x v="6"/>
    <s v="Running Shoes"/>
    <n v="4"/>
    <n v="3500"/>
    <n v="10"/>
    <n v="1400"/>
    <n v="12600"/>
    <x v="317"/>
    <s v="Credit Card"/>
    <s v="Delivered"/>
  </r>
  <r>
    <s v="ORD0319"/>
    <d v="2023-06-13T00:00:00"/>
    <s v="CUST1241"/>
    <s v="Suresh Shah"/>
    <x v="2"/>
    <x v="6"/>
    <s v="Football"/>
    <n v="1"/>
    <n v="800"/>
    <n v="10"/>
    <n v="80"/>
    <n v="720"/>
    <x v="318"/>
    <s v="Credit Card"/>
    <s v="Delivered"/>
  </r>
  <r>
    <s v="ORD0320"/>
    <d v="2023-05-07T00:00:00"/>
    <s v="CUST1469"/>
    <s v="Vivaan Singh"/>
    <x v="1"/>
    <x v="4"/>
    <s v="Shampoo"/>
    <n v="3"/>
    <n v="300"/>
    <n v="20"/>
    <n v="180"/>
    <n v="720"/>
    <x v="319"/>
    <s v="Debit Card"/>
    <s v="Delivered"/>
  </r>
  <r>
    <s v="ORD0321"/>
    <d v="2023-04-01T00:00:00"/>
    <s v="CUST1467"/>
    <s v="Manish Sharma"/>
    <x v="3"/>
    <x v="5"/>
    <s v="Jacket"/>
    <n v="3"/>
    <n v="1999"/>
    <n v="25"/>
    <n v="1499.25"/>
    <n v="4497.75"/>
    <x v="320"/>
    <s v="Net Banking"/>
    <s v="Cancelled"/>
  </r>
  <r>
    <s v="ORD0322"/>
    <d v="2023-03-14T00:00:00"/>
    <s v="CUST1251"/>
    <s v="Vivaan Patel"/>
    <x v="5"/>
    <x v="6"/>
    <s v="Football"/>
    <n v="4"/>
    <n v="800"/>
    <n v="20"/>
    <n v="640"/>
    <n v="2560"/>
    <x v="321"/>
    <s v="Credit Card"/>
    <s v="Cancelled"/>
  </r>
  <r>
    <s v="ORD0323"/>
    <d v="2023-04-23T00:00:00"/>
    <s v="CUST1314"/>
    <s v="Kiran Reddy"/>
    <x v="3"/>
    <x v="0"/>
    <s v="Tablet"/>
    <n v="4"/>
    <n v="22000"/>
    <n v="0"/>
    <n v="0"/>
    <n v="88000"/>
    <x v="322"/>
    <s v="Credit Card"/>
    <s v="Delivered"/>
  </r>
  <r>
    <s v="ORD0324"/>
    <d v="2023-01-31T00:00:00"/>
    <s v="CUST1396"/>
    <s v="Diya Tiwari"/>
    <x v="3"/>
    <x v="0"/>
    <s v="Laptop"/>
    <n v="5"/>
    <n v="55000"/>
    <n v="25"/>
    <n v="68750"/>
    <n v="206250"/>
    <x v="323"/>
    <s v="UPI"/>
    <s v="Delivered"/>
  </r>
  <r>
    <s v="ORD0325"/>
    <d v="2023-12-27T00:00:00"/>
    <s v="CUST1165"/>
    <s v="Rohan Nair"/>
    <x v="1"/>
    <x v="4"/>
    <s v="Lipstick"/>
    <n v="5"/>
    <n v="650"/>
    <n v="0"/>
    <n v="0"/>
    <n v="3250"/>
    <x v="324"/>
    <s v="Cash on Delivery"/>
    <s v="Delivered"/>
  </r>
  <r>
    <s v="ORD0326"/>
    <d v="2023-03-31T00:00:00"/>
    <s v="CUST1301"/>
    <s v="Priya Mehta"/>
    <x v="6"/>
    <x v="4"/>
    <s v="Foundation"/>
    <n v="5"/>
    <n v="850"/>
    <n v="10"/>
    <n v="425"/>
    <n v="3825"/>
    <x v="325"/>
    <s v="Debit Card"/>
    <s v="Delivered"/>
  </r>
  <r>
    <s v="ORD0327"/>
    <d v="2023-04-01T00:00:00"/>
    <s v="CUST1394"/>
    <s v="Manish Verma"/>
    <x v="7"/>
    <x v="4"/>
    <s v="Moisturizer"/>
    <n v="5"/>
    <n v="450"/>
    <n v="15"/>
    <n v="337.5"/>
    <n v="1912.5"/>
    <x v="326"/>
    <s v="Net Banking"/>
    <s v="Delivered"/>
  </r>
  <r>
    <s v="ORD0328"/>
    <d v="2023-11-10T00:00:00"/>
    <s v="CUST1072"/>
    <s v="Arjun Patel"/>
    <x v="2"/>
    <x v="5"/>
    <s v="Shoes"/>
    <n v="5"/>
    <n v="2499"/>
    <n v="0"/>
    <n v="0"/>
    <n v="12495"/>
    <x v="327"/>
    <s v="Debit Card"/>
    <s v="Delivered"/>
  </r>
  <r>
    <s v="ORD0329"/>
    <d v="2023-03-27T00:00:00"/>
    <s v="CUST1107"/>
    <s v="Sneha Patel"/>
    <x v="3"/>
    <x v="4"/>
    <s v="Moisturizer"/>
    <n v="3"/>
    <n v="450"/>
    <n v="15"/>
    <n v="202.5"/>
    <n v="1147.5"/>
    <x v="328"/>
    <s v="Debit Card"/>
    <s v="Delivered"/>
  </r>
  <r>
    <s v="ORD0330"/>
    <d v="2023-01-01T00:00:00"/>
    <s v="CUST1085"/>
    <s v="Nisha Bhat"/>
    <x v="1"/>
    <x v="0"/>
    <s v="Smartwatch"/>
    <n v="4"/>
    <n v="8000"/>
    <n v="25"/>
    <n v="8000"/>
    <n v="24000"/>
    <x v="329"/>
    <s v="Debit Card"/>
    <s v="Cancelled"/>
  </r>
  <r>
    <s v="ORD0331"/>
    <d v="2023-07-12T00:00:00"/>
    <s v="CUST1351"/>
    <s v="Sneha Nair"/>
    <x v="4"/>
    <x v="0"/>
    <s v="Speaker"/>
    <n v="4"/>
    <n v="4500"/>
    <n v="20"/>
    <n v="3600"/>
    <n v="14400"/>
    <x v="330"/>
    <s v="UPI"/>
    <s v="Delivered"/>
  </r>
  <r>
    <s v="ORD0332"/>
    <d v="2023-05-31T00:00:00"/>
    <s v="CUST1087"/>
    <s v="Vijay Nair"/>
    <x v="0"/>
    <x v="0"/>
    <s v="Earbuds"/>
    <n v="3"/>
    <n v="3500"/>
    <n v="0"/>
    <n v="0"/>
    <n v="10500"/>
    <x v="331"/>
    <s v="Net Banking"/>
    <s v="Delivered"/>
  </r>
  <r>
    <s v="ORD0333"/>
    <d v="2023-06-23T00:00:00"/>
    <s v="CUST1482"/>
    <s v="Priya Khanna"/>
    <x v="1"/>
    <x v="6"/>
    <s v="Badminton Set"/>
    <n v="4"/>
    <n v="1500"/>
    <n v="25"/>
    <n v="1500"/>
    <n v="4500"/>
    <x v="332"/>
    <s v="Credit Card"/>
    <s v="Delivered"/>
  </r>
  <r>
    <s v="ORD0334"/>
    <d v="2023-02-21T00:00:00"/>
    <s v="CUST1369"/>
    <s v="Deepa Kumar"/>
    <x v="6"/>
    <x v="1"/>
    <s v="Dal (1kg)"/>
    <n v="2"/>
    <n v="120"/>
    <n v="15"/>
    <n v="36"/>
    <n v="204"/>
    <x v="333"/>
    <s v="Debit Card"/>
    <s v="Delivered"/>
  </r>
  <r>
    <s v="ORD0335"/>
    <d v="2023-02-19T00:00:00"/>
    <s v="CUST1078"/>
    <s v="Vivaan Shah"/>
    <x v="5"/>
    <x v="0"/>
    <s v="Smartwatch"/>
    <n v="5"/>
    <n v="8000"/>
    <n v="20"/>
    <n v="8000"/>
    <n v="32000"/>
    <x v="334"/>
    <s v="Cash on Delivery"/>
    <s v="Delivered"/>
  </r>
  <r>
    <s v="ORD0336"/>
    <d v="2023-05-31T00:00:00"/>
    <s v="CUST1013"/>
    <s v="Kiran Nair"/>
    <x v="6"/>
    <x v="3"/>
    <s v="Finance Book"/>
    <n v="5"/>
    <n v="549"/>
    <n v="15"/>
    <n v="411.75"/>
    <n v="2333.25"/>
    <x v="335"/>
    <s v="UPI"/>
    <s v="Returned"/>
  </r>
  <r>
    <s v="ORD0337"/>
    <d v="2023-03-01T00:00:00"/>
    <s v="CUST1338"/>
    <s v="Rahul Patel"/>
    <x v="1"/>
    <x v="1"/>
    <s v="Coffee"/>
    <n v="4"/>
    <n v="400"/>
    <n v="15"/>
    <n v="240"/>
    <n v="1360"/>
    <x v="336"/>
    <s v="Credit Card"/>
    <s v="Delivered"/>
  </r>
  <r>
    <s v="ORD0338"/>
    <d v="2023-07-15T00:00:00"/>
    <s v="CUST1238"/>
    <s v="Rahul Singh"/>
    <x v="6"/>
    <x v="1"/>
    <s v="Dal (1kg)"/>
    <n v="4"/>
    <n v="120"/>
    <n v="0"/>
    <n v="0"/>
    <n v="480"/>
    <x v="337"/>
    <s v="Net Banking"/>
    <s v="Delivered"/>
  </r>
  <r>
    <s v="ORD0339"/>
    <d v="2023-03-19T00:00:00"/>
    <s v="CUST1413"/>
    <s v="Deepa Pillai"/>
    <x v="2"/>
    <x v="3"/>
    <s v="Finance Book"/>
    <n v="1"/>
    <n v="549"/>
    <n v="0"/>
    <n v="0"/>
    <n v="549"/>
    <x v="338"/>
    <s v="Net Banking"/>
    <s v="Delivered"/>
  </r>
  <r>
    <s v="ORD0340"/>
    <d v="2023-07-18T00:00:00"/>
    <s v="CUST1479"/>
    <s v="Kavita Agarwal"/>
    <x v="2"/>
    <x v="3"/>
    <s v="Business Analytics"/>
    <n v="4"/>
    <n v="699"/>
    <n v="20"/>
    <n v="559.20000000000005"/>
    <n v="2236.8000000000002"/>
    <x v="339"/>
    <s v="Cash on Delivery"/>
    <s v="Delivered"/>
  </r>
  <r>
    <s v="ORD0341"/>
    <d v="2023-02-10T00:00:00"/>
    <s v="CUST1264"/>
    <s v="Manish Khanna"/>
    <x v="7"/>
    <x v="2"/>
    <s v="Side Table"/>
    <n v="1"/>
    <n v="3200"/>
    <n v="20"/>
    <n v="640"/>
    <n v="2560"/>
    <x v="340"/>
    <s v="UPI"/>
    <s v="Returned"/>
  </r>
  <r>
    <s v="ORD0342"/>
    <d v="2023-03-30T00:00:00"/>
    <s v="CUST1040"/>
    <s v="Nisha Iyer"/>
    <x v="7"/>
    <x v="5"/>
    <s v="Jeans"/>
    <n v="2"/>
    <n v="1299"/>
    <n v="5"/>
    <n v="129.9"/>
    <n v="2468.1"/>
    <x v="341"/>
    <s v="Net Banking"/>
    <s v="Delivered"/>
  </r>
  <r>
    <s v="ORD0343"/>
    <d v="2023-06-13T00:00:00"/>
    <s v="CUST1203"/>
    <s v="Deepa Joshi"/>
    <x v="6"/>
    <x v="4"/>
    <s v="Face Wash"/>
    <n v="1"/>
    <n v="250"/>
    <n v="0"/>
    <n v="0"/>
    <n v="250"/>
    <x v="342"/>
    <s v="Net Banking"/>
    <s v="Returned"/>
  </r>
  <r>
    <s v="ORD0344"/>
    <d v="2023-01-07T00:00:00"/>
    <s v="CUST1214"/>
    <s v="Diya Pillai"/>
    <x v="7"/>
    <x v="3"/>
    <s v="Finance Book"/>
    <n v="5"/>
    <n v="549"/>
    <n v="20"/>
    <n v="549"/>
    <n v="2196"/>
    <x v="343"/>
    <s v="Credit Card"/>
    <s v="Cancelled"/>
  </r>
  <r>
    <s v="ORD0345"/>
    <d v="2023-10-29T00:00:00"/>
    <s v="CUST1051"/>
    <s v="Meera Mishra"/>
    <x v="3"/>
    <x v="6"/>
    <s v="Running Shoes"/>
    <n v="1"/>
    <n v="3500"/>
    <n v="0"/>
    <n v="0"/>
    <n v="3500"/>
    <x v="344"/>
    <s v="Cash on Delivery"/>
    <s v="Delivered"/>
  </r>
  <r>
    <s v="ORD0346"/>
    <d v="2023-07-16T00:00:00"/>
    <s v="CUST1088"/>
    <s v="Rahul Mehta"/>
    <x v="7"/>
    <x v="4"/>
    <s v="Lipstick"/>
    <n v="5"/>
    <n v="650"/>
    <n v="20"/>
    <n v="650"/>
    <n v="2600"/>
    <x v="345"/>
    <s v="Net Banking"/>
    <s v="Cancelled"/>
  </r>
  <r>
    <s v="ORD0347"/>
    <d v="2023-12-15T00:00:00"/>
    <s v="CUST1169"/>
    <s v="Sneha Verma"/>
    <x v="4"/>
    <x v="4"/>
    <s v="Lipstick"/>
    <n v="1"/>
    <n v="650"/>
    <n v="15"/>
    <n v="97.5"/>
    <n v="552.5"/>
    <x v="346"/>
    <s v="Debit Card"/>
    <s v="Delivered"/>
  </r>
  <r>
    <s v="ORD0348"/>
    <d v="2023-01-11T00:00:00"/>
    <s v="CUST1251"/>
    <s v="Diya Singh"/>
    <x v="7"/>
    <x v="1"/>
    <s v="Coffee"/>
    <n v="3"/>
    <n v="400"/>
    <n v="10"/>
    <n v="120"/>
    <n v="1080"/>
    <x v="347"/>
    <s v="Debit Card"/>
    <s v="Returned"/>
  </r>
  <r>
    <s v="ORD0349"/>
    <d v="2023-06-14T00:00:00"/>
    <s v="CUST1096"/>
    <s v="Arun Iyer"/>
    <x v="1"/>
    <x v="1"/>
    <s v="Tea Powder"/>
    <n v="4"/>
    <n v="250"/>
    <n v="20"/>
    <n v="200"/>
    <n v="800"/>
    <x v="348"/>
    <s v="Cash on Delivery"/>
    <s v="Cancelled"/>
  </r>
  <r>
    <s v="ORD0350"/>
    <d v="2023-07-11T00:00:00"/>
    <s v="CUST1363"/>
    <s v="Suresh Mehta"/>
    <x v="7"/>
    <x v="3"/>
    <s v="Python Basics"/>
    <n v="5"/>
    <n v="499"/>
    <n v="5"/>
    <n v="124.75"/>
    <n v="2370.25"/>
    <x v="349"/>
    <s v="Net Banking"/>
    <s v="Cancelled"/>
  </r>
  <r>
    <s v="ORD0351"/>
    <d v="2023-01-15T00:00:00"/>
    <s v="CUST1233"/>
    <s v="Vivaan Shah"/>
    <x v="2"/>
    <x v="5"/>
    <s v="Jeans"/>
    <n v="2"/>
    <n v="1299"/>
    <n v="0"/>
    <n v="0"/>
    <n v="2598"/>
    <x v="350"/>
    <s v="Debit Card"/>
    <s v="Delivered"/>
  </r>
  <r>
    <s v="ORD0352"/>
    <d v="2023-08-26T00:00:00"/>
    <s v="CUST1190"/>
    <s v="Kavita Khanna"/>
    <x v="4"/>
    <x v="6"/>
    <s v="Dumbbells"/>
    <n v="1"/>
    <n v="2200"/>
    <n v="25"/>
    <n v="550"/>
    <n v="1650"/>
    <x v="351"/>
    <s v="Credit Card"/>
    <s v="Returned"/>
  </r>
  <r>
    <s v="ORD0353"/>
    <d v="2023-10-28T00:00:00"/>
    <s v="CUST1132"/>
    <s v="Ananya Rao"/>
    <x v="5"/>
    <x v="6"/>
    <s v="Yoga Mat"/>
    <n v="3"/>
    <n v="700"/>
    <n v="5"/>
    <n v="105"/>
    <n v="1995"/>
    <x v="352"/>
    <s v="Cash on Delivery"/>
    <s v="Delivered"/>
  </r>
  <r>
    <s v="ORD0354"/>
    <d v="2023-03-25T00:00:00"/>
    <s v="CUST1346"/>
    <s v="Kiran Kumar"/>
    <x v="1"/>
    <x v="3"/>
    <s v="Business Analytics"/>
    <n v="2"/>
    <n v="699"/>
    <n v="5"/>
    <n v="69.900000000000006"/>
    <n v="1328.1"/>
    <x v="353"/>
    <s v="Net Banking"/>
    <s v="Delivered"/>
  </r>
  <r>
    <s v="ORD0355"/>
    <d v="2023-12-16T00:00:00"/>
    <s v="CUST1410"/>
    <s v="Aarav Singh"/>
    <x v="6"/>
    <x v="0"/>
    <s v="Smartwatch"/>
    <n v="2"/>
    <n v="8000"/>
    <n v="25"/>
    <n v="4000"/>
    <n v="12000"/>
    <x v="354"/>
    <s v="Net Banking"/>
    <s v="Delivered"/>
  </r>
  <r>
    <s v="ORD0356"/>
    <d v="2023-12-31T00:00:00"/>
    <s v="CUST1436"/>
    <s v="Pooja Das"/>
    <x v="6"/>
    <x v="4"/>
    <s v="Perfume"/>
    <n v="3"/>
    <n v="1800"/>
    <n v="15"/>
    <n v="810"/>
    <n v="4590"/>
    <x v="355"/>
    <s v="Credit Card"/>
    <s v="Returned"/>
  </r>
  <r>
    <s v="ORD0357"/>
    <d v="2023-06-04T00:00:00"/>
    <s v="CUST1003"/>
    <s v="Suresh Shah"/>
    <x v="6"/>
    <x v="4"/>
    <s v="Foundation"/>
    <n v="5"/>
    <n v="850"/>
    <n v="15"/>
    <n v="637.5"/>
    <n v="3612.5"/>
    <x v="356"/>
    <s v="Debit Card"/>
    <s v="Delivered"/>
  </r>
  <r>
    <s v="ORD0358"/>
    <d v="2023-09-04T00:00:00"/>
    <s v="CUST1141"/>
    <s v="Rahul Rao"/>
    <x v="2"/>
    <x v="0"/>
    <s v="Earbuds"/>
    <n v="3"/>
    <n v="3500"/>
    <n v="25"/>
    <n v="2625"/>
    <n v="7875"/>
    <x v="357"/>
    <s v="Credit Card"/>
    <s v="Cancelled"/>
  </r>
  <r>
    <s v="ORD0359"/>
    <d v="2023-05-04T00:00:00"/>
    <s v="CUST1348"/>
    <s v="Rohan Sharma"/>
    <x v="4"/>
    <x v="0"/>
    <s v="Speaker"/>
    <n v="5"/>
    <n v="4500"/>
    <n v="15"/>
    <n v="3375"/>
    <n v="19125"/>
    <x v="358"/>
    <s v="Debit Card"/>
    <s v="Delivered"/>
  </r>
  <r>
    <s v="ORD0360"/>
    <d v="2023-08-03T00:00:00"/>
    <s v="CUST1292"/>
    <s v="Kiran Joshi"/>
    <x v="2"/>
    <x v="2"/>
    <s v="Wardrobe"/>
    <n v="1"/>
    <n v="18000"/>
    <n v="20"/>
    <n v="3600"/>
    <n v="14400"/>
    <x v="359"/>
    <s v="Net Banking"/>
    <s v="Returned"/>
  </r>
  <r>
    <s v="ORD0361"/>
    <d v="2023-12-10T00:00:00"/>
    <s v="CUST1448"/>
    <s v="Deepa Nair"/>
    <x v="6"/>
    <x v="1"/>
    <s v="Sugar (2kg)"/>
    <n v="3"/>
    <n v="90"/>
    <n v="5"/>
    <n v="13.5"/>
    <n v="256.5"/>
    <x v="360"/>
    <s v="UPI"/>
    <s v="Returned"/>
  </r>
  <r>
    <s v="ORD0362"/>
    <d v="2023-03-07T00:00:00"/>
    <s v="CUST1460"/>
    <s v="Arjun Patel"/>
    <x v="2"/>
    <x v="4"/>
    <s v="Sunscreen"/>
    <n v="5"/>
    <n v="350"/>
    <n v="5"/>
    <n v="87.5"/>
    <n v="1662.5"/>
    <x v="361"/>
    <s v="Debit Card"/>
    <s v="Delivered"/>
  </r>
  <r>
    <s v="ORD0363"/>
    <d v="2023-06-07T00:00:00"/>
    <s v="CUST1150"/>
    <s v="Arun Gupta"/>
    <x v="4"/>
    <x v="2"/>
    <s v="Side Table"/>
    <n v="3"/>
    <n v="3200"/>
    <n v="10"/>
    <n v="960"/>
    <n v="8640"/>
    <x v="362"/>
    <s v="UPI"/>
    <s v="Cancelled"/>
  </r>
  <r>
    <s v="ORD0364"/>
    <d v="2023-10-25T00:00:00"/>
    <s v="CUST1444"/>
    <s v="Vijay Tiwari"/>
    <x v="6"/>
    <x v="6"/>
    <s v="Cricket Bat"/>
    <n v="4"/>
    <n v="2500"/>
    <n v="5"/>
    <n v="500"/>
    <n v="9500"/>
    <x v="363"/>
    <s v="Cash on Delivery"/>
    <s v="Delivered"/>
  </r>
  <r>
    <s v="ORD0365"/>
    <d v="2023-03-19T00:00:00"/>
    <s v="CUST1457"/>
    <s v="Arun Reddy"/>
    <x v="3"/>
    <x v="5"/>
    <s v="Jeans"/>
    <n v="3"/>
    <n v="1299"/>
    <n v="15"/>
    <n v="584.54999999999995"/>
    <n v="3312.45"/>
    <x v="364"/>
    <s v="Credit Card"/>
    <s v="Delivered"/>
  </r>
  <r>
    <s v="ORD0366"/>
    <d v="2023-09-07T00:00:00"/>
    <s v="CUST1002"/>
    <s v="Arun Kumar"/>
    <x v="2"/>
    <x v="1"/>
    <s v="Tea Powder"/>
    <n v="2"/>
    <n v="250"/>
    <n v="10"/>
    <n v="50"/>
    <n v="450"/>
    <x v="365"/>
    <s v="Credit Card"/>
    <s v="Cancelled"/>
  </r>
  <r>
    <s v="ORD0367"/>
    <d v="2023-03-23T00:00:00"/>
    <s v="CUST1324"/>
    <s v="Nisha Mehta"/>
    <x v="1"/>
    <x v="2"/>
    <s v="Side Table"/>
    <n v="1"/>
    <n v="3200"/>
    <n v="5"/>
    <n v="160"/>
    <n v="3040"/>
    <x v="366"/>
    <s v="Cash on Delivery"/>
    <s v="Returned"/>
  </r>
  <r>
    <s v="ORD0368"/>
    <d v="2023-01-03T00:00:00"/>
    <s v="CUST1007"/>
    <s v="Arjun Tiwari"/>
    <x v="2"/>
    <x v="0"/>
    <s v="Tablet"/>
    <n v="2"/>
    <n v="22000"/>
    <n v="25"/>
    <n v="11000"/>
    <n v="33000"/>
    <x v="367"/>
    <s v="UPI"/>
    <s v="Delivered"/>
  </r>
  <r>
    <s v="ORD0369"/>
    <d v="2023-11-17T00:00:00"/>
    <s v="CUST1159"/>
    <s v="Rohan Gupta"/>
    <x v="1"/>
    <x v="4"/>
    <s v="Shampoo"/>
    <n v="2"/>
    <n v="300"/>
    <n v="25"/>
    <n v="150"/>
    <n v="450"/>
    <x v="368"/>
    <s v="Net Banking"/>
    <s v="Cancelled"/>
  </r>
  <r>
    <s v="ORD0370"/>
    <d v="2023-06-06T00:00:00"/>
    <s v="CUST1233"/>
    <s v="Suresh Khanna"/>
    <x v="3"/>
    <x v="5"/>
    <s v="T-Shirt"/>
    <n v="1"/>
    <n v="499"/>
    <n v="10"/>
    <n v="49.9"/>
    <n v="449.1"/>
    <x v="369"/>
    <s v="Cash on Delivery"/>
    <s v="Delivered"/>
  </r>
  <r>
    <s v="ORD0371"/>
    <d v="2023-06-25T00:00:00"/>
    <s v="CUST1470"/>
    <s v="Vijay Sharma"/>
    <x v="2"/>
    <x v="2"/>
    <s v="Bookshelf"/>
    <n v="2"/>
    <n v="4200"/>
    <n v="5"/>
    <n v="420"/>
    <n v="7980"/>
    <x v="370"/>
    <s v="Credit Card"/>
    <s v="Delivered"/>
  </r>
  <r>
    <s v="ORD0372"/>
    <d v="2023-04-19T00:00:00"/>
    <s v="CUST1187"/>
    <s v="Vivaan Mehta"/>
    <x v="6"/>
    <x v="4"/>
    <s v="Moisturizer"/>
    <n v="5"/>
    <n v="450"/>
    <n v="20"/>
    <n v="450"/>
    <n v="1800"/>
    <x v="371"/>
    <s v="Net Banking"/>
    <s v="Cancelled"/>
  </r>
  <r>
    <s v="ORD0373"/>
    <d v="2023-01-25T00:00:00"/>
    <s v="CUST1024"/>
    <s v="Diya Pillai"/>
    <x v="4"/>
    <x v="6"/>
    <s v="Cricket Bat"/>
    <n v="1"/>
    <n v="2500"/>
    <n v="25"/>
    <n v="625"/>
    <n v="1875"/>
    <x v="372"/>
    <s v="Cash on Delivery"/>
    <s v="Delivered"/>
  </r>
  <r>
    <s v="ORD0374"/>
    <d v="2023-10-08T00:00:00"/>
    <s v="CUST1322"/>
    <s v="Aarav Rao"/>
    <x v="1"/>
    <x v="1"/>
    <s v="Atta (10kg)"/>
    <n v="2"/>
    <n v="450"/>
    <n v="5"/>
    <n v="45"/>
    <n v="855"/>
    <x v="373"/>
    <s v="UPI"/>
    <s v="Cancelled"/>
  </r>
  <r>
    <s v="ORD0375"/>
    <d v="2023-05-19T00:00:00"/>
    <s v="CUST1053"/>
    <s v="Suresh Khanna"/>
    <x v="0"/>
    <x v="6"/>
    <s v="Badminton Set"/>
    <n v="2"/>
    <n v="1500"/>
    <n v="15"/>
    <n v="450"/>
    <n v="2550"/>
    <x v="374"/>
    <s v="Debit Card"/>
    <s v="Delivered"/>
  </r>
  <r>
    <s v="ORD0376"/>
    <d v="2023-02-24T00:00:00"/>
    <s v="CUST1425"/>
    <s v="Suresh Iyer"/>
    <x v="3"/>
    <x v="2"/>
    <s v="Study Table"/>
    <n v="5"/>
    <n v="6500"/>
    <n v="5"/>
    <n v="1625"/>
    <n v="30875"/>
    <x v="375"/>
    <s v="Cash on Delivery"/>
    <s v="Delivered"/>
  </r>
  <r>
    <s v="ORD0377"/>
    <d v="2023-03-24T00:00:00"/>
    <s v="CUST1246"/>
    <s v="Arjun Singh"/>
    <x v="5"/>
    <x v="0"/>
    <s v="Tablet"/>
    <n v="4"/>
    <n v="22000"/>
    <n v="5"/>
    <n v="4400"/>
    <n v="83600"/>
    <x v="376"/>
    <s v="UPI"/>
    <s v="Delivered"/>
  </r>
  <r>
    <s v="ORD0378"/>
    <d v="2023-02-26T00:00:00"/>
    <s v="CUST1399"/>
    <s v="Suresh Patel"/>
    <x v="0"/>
    <x v="3"/>
    <s v="Business Analytics"/>
    <n v="4"/>
    <n v="699"/>
    <n v="5"/>
    <n v="139.80000000000001"/>
    <n v="2656.2"/>
    <x v="377"/>
    <s v="Debit Card"/>
    <s v="Delivered"/>
  </r>
  <r>
    <s v="ORD0379"/>
    <d v="2023-08-22T00:00:00"/>
    <s v="CUST1089"/>
    <s v="Vivaan Rao"/>
    <x v="3"/>
    <x v="1"/>
    <s v="Oil (1L)"/>
    <n v="4"/>
    <n v="180"/>
    <n v="0"/>
    <n v="0"/>
    <n v="720"/>
    <x v="378"/>
    <s v="Debit Card"/>
    <s v="Returned"/>
  </r>
  <r>
    <s v="ORD0380"/>
    <d v="2023-03-01T00:00:00"/>
    <s v="CUST1339"/>
    <s v="Priya Joshi"/>
    <x v="3"/>
    <x v="0"/>
    <s v="Speaker"/>
    <n v="1"/>
    <n v="4500"/>
    <n v="0"/>
    <n v="0"/>
    <n v="4500"/>
    <x v="379"/>
    <s v="Cash on Delivery"/>
    <s v="Cancelled"/>
  </r>
  <r>
    <s v="ORD0381"/>
    <d v="2023-05-18T00:00:00"/>
    <s v="CUST1205"/>
    <s v="Vijay Das"/>
    <x v="6"/>
    <x v="4"/>
    <s v="Moisturizer"/>
    <n v="3"/>
    <n v="450"/>
    <n v="10"/>
    <n v="135"/>
    <n v="1215"/>
    <x v="380"/>
    <s v="Cash on Delivery"/>
    <s v="Returned"/>
  </r>
  <r>
    <s v="ORD0382"/>
    <d v="2023-08-04T00:00:00"/>
    <s v="CUST1371"/>
    <s v="Vivaan Nair"/>
    <x v="0"/>
    <x v="4"/>
    <s v="Face Wash"/>
    <n v="2"/>
    <n v="250"/>
    <n v="0"/>
    <n v="0"/>
    <n v="500"/>
    <x v="381"/>
    <s v="Cash on Delivery"/>
    <s v="Cancelled"/>
  </r>
  <r>
    <s v="ORD0383"/>
    <d v="2023-09-05T00:00:00"/>
    <s v="CUST1398"/>
    <s v="Pooja Khanna"/>
    <x v="5"/>
    <x v="3"/>
    <s v="Business Analytics"/>
    <n v="4"/>
    <n v="699"/>
    <n v="5"/>
    <n v="139.80000000000001"/>
    <n v="2656.2"/>
    <x v="382"/>
    <s v="Credit Card"/>
    <s v="Returned"/>
  </r>
  <r>
    <s v="ORD0384"/>
    <d v="2023-09-07T00:00:00"/>
    <s v="CUST1335"/>
    <s v="Arjun Sharma"/>
    <x v="2"/>
    <x v="0"/>
    <s v="Smartwatch"/>
    <n v="4"/>
    <n v="8000"/>
    <n v="0"/>
    <n v="0"/>
    <n v="32000"/>
    <x v="383"/>
    <s v="Debit Card"/>
    <s v="Cancelled"/>
  </r>
  <r>
    <s v="ORD0385"/>
    <d v="2023-09-25T00:00:00"/>
    <s v="CUST1372"/>
    <s v="Sneha Bhat"/>
    <x v="3"/>
    <x v="4"/>
    <s v="Perfume"/>
    <n v="5"/>
    <n v="1800"/>
    <n v="0"/>
    <n v="0"/>
    <n v="9000"/>
    <x v="384"/>
    <s v="Cash on Delivery"/>
    <s v="Delivered"/>
  </r>
  <r>
    <s v="ORD0386"/>
    <d v="2023-10-13T00:00:00"/>
    <s v="CUST1258"/>
    <s v="Kavita Bhat"/>
    <x v="7"/>
    <x v="6"/>
    <s v="Cricket Bat"/>
    <n v="1"/>
    <n v="2500"/>
    <n v="25"/>
    <n v="625"/>
    <n v="1875"/>
    <x v="385"/>
    <s v="UPI"/>
    <s v="Returned"/>
  </r>
  <r>
    <s v="ORD0387"/>
    <d v="2023-06-14T00:00:00"/>
    <s v="CUST1281"/>
    <s v="Vijay Mehta"/>
    <x v="2"/>
    <x v="5"/>
    <s v="Kurta"/>
    <n v="3"/>
    <n v="799"/>
    <n v="0"/>
    <n v="0"/>
    <n v="2397"/>
    <x v="386"/>
    <s v="UPI"/>
    <s v="Returned"/>
  </r>
  <r>
    <s v="ORD0388"/>
    <d v="2023-08-16T00:00:00"/>
    <s v="CUST1228"/>
    <s v="Arjun Gupta"/>
    <x v="4"/>
    <x v="3"/>
    <s v="Business Analytics"/>
    <n v="4"/>
    <n v="699"/>
    <n v="0"/>
    <n v="0"/>
    <n v="2796"/>
    <x v="387"/>
    <s v="UPI"/>
    <s v="Delivered"/>
  </r>
  <r>
    <s v="ORD0389"/>
    <d v="2023-07-26T00:00:00"/>
    <s v="CUST1046"/>
    <s v="Anjali Khanna"/>
    <x v="6"/>
    <x v="2"/>
    <s v="Office Chair"/>
    <n v="5"/>
    <n v="8500"/>
    <n v="20"/>
    <n v="8500"/>
    <n v="34000"/>
    <x v="388"/>
    <s v="Net Banking"/>
    <s v="Cancelled"/>
  </r>
  <r>
    <s v="ORD0390"/>
    <d v="2023-04-16T00:00:00"/>
    <s v="CUST1027"/>
    <s v="Sneha Das"/>
    <x v="3"/>
    <x v="4"/>
    <s v="Perfume"/>
    <n v="4"/>
    <n v="1800"/>
    <n v="10"/>
    <n v="720"/>
    <n v="6480"/>
    <x v="389"/>
    <s v="Net Banking"/>
    <s v="Cancelled"/>
  </r>
  <r>
    <s v="ORD0391"/>
    <d v="2023-11-04T00:00:00"/>
    <s v="CUST1049"/>
    <s v="Sneha Sharma"/>
    <x v="3"/>
    <x v="2"/>
    <s v="Bed Frame"/>
    <n v="3"/>
    <n v="15000"/>
    <n v="25"/>
    <n v="11250"/>
    <n v="33750"/>
    <x v="390"/>
    <s v="Debit Card"/>
    <s v="Delivered"/>
  </r>
  <r>
    <s v="ORD0392"/>
    <d v="2023-10-08T00:00:00"/>
    <s v="CUST1252"/>
    <s v="Rohan Pillai"/>
    <x v="0"/>
    <x v="6"/>
    <s v="Yoga Mat"/>
    <n v="1"/>
    <n v="700"/>
    <n v="0"/>
    <n v="0"/>
    <n v="700"/>
    <x v="391"/>
    <s v="Debit Card"/>
    <s v="Cancelled"/>
  </r>
  <r>
    <s v="ORD0393"/>
    <d v="2023-04-11T00:00:00"/>
    <s v="CUST1400"/>
    <s v="Kiran Joshi"/>
    <x v="0"/>
    <x v="5"/>
    <s v="T-Shirt"/>
    <n v="4"/>
    <n v="499"/>
    <n v="5"/>
    <n v="99.8"/>
    <n v="1896.2"/>
    <x v="392"/>
    <s v="Cash on Delivery"/>
    <s v="Delivered"/>
  </r>
  <r>
    <s v="ORD0394"/>
    <d v="2023-11-21T00:00:00"/>
    <s v="CUST1230"/>
    <s v="Arun Agarwal"/>
    <x v="7"/>
    <x v="3"/>
    <s v="Finance Book"/>
    <n v="5"/>
    <n v="549"/>
    <n v="0"/>
    <n v="0"/>
    <n v="2745"/>
    <x v="393"/>
    <s v="Cash on Delivery"/>
    <s v="Delivered"/>
  </r>
  <r>
    <s v="ORD0395"/>
    <d v="2023-09-29T00:00:00"/>
    <s v="CUST1247"/>
    <s v="Suresh Nair"/>
    <x v="7"/>
    <x v="4"/>
    <s v="Moisturizer"/>
    <n v="5"/>
    <n v="450"/>
    <n v="15"/>
    <n v="337.5"/>
    <n v="1912.5"/>
    <x v="394"/>
    <s v="Credit Card"/>
    <s v="Delivered"/>
  </r>
  <r>
    <s v="ORD0396"/>
    <d v="2023-07-18T00:00:00"/>
    <s v="CUST1196"/>
    <s v="Nisha Khanna"/>
    <x v="2"/>
    <x v="4"/>
    <s v="Foundation"/>
    <n v="5"/>
    <n v="850"/>
    <n v="10"/>
    <n v="425"/>
    <n v="3825"/>
    <x v="395"/>
    <s v="Debit Card"/>
    <s v="Returned"/>
  </r>
  <r>
    <s v="ORD0397"/>
    <d v="2023-06-25T00:00:00"/>
    <s v="CUST1358"/>
    <s v="Suresh Rao"/>
    <x v="3"/>
    <x v="1"/>
    <s v="Atta (10kg)"/>
    <n v="2"/>
    <n v="450"/>
    <n v="5"/>
    <n v="45"/>
    <n v="855"/>
    <x v="396"/>
    <s v="Net Banking"/>
    <s v="Delivered"/>
  </r>
  <r>
    <s v="ORD0398"/>
    <d v="2023-04-13T00:00:00"/>
    <s v="CUST1344"/>
    <s v="Rohan Nair"/>
    <x v="3"/>
    <x v="5"/>
    <s v="Jacket"/>
    <n v="3"/>
    <n v="1999"/>
    <n v="25"/>
    <n v="1499.25"/>
    <n v="4497.75"/>
    <x v="397"/>
    <s v="UPI"/>
    <s v="Delivered"/>
  </r>
  <r>
    <s v="ORD0399"/>
    <d v="2023-10-15T00:00:00"/>
    <s v="CUST1345"/>
    <s v="Deepa Rao"/>
    <x v="1"/>
    <x v="2"/>
    <s v="Sofa"/>
    <n v="5"/>
    <n v="25000"/>
    <n v="25"/>
    <n v="31250"/>
    <n v="93750"/>
    <x v="398"/>
    <s v="UPI"/>
    <s v="Cancelled"/>
  </r>
  <r>
    <s v="ORD0400"/>
    <d v="2023-02-24T00:00:00"/>
    <s v="CUST1102"/>
    <s v="Rahul Nair"/>
    <x v="6"/>
    <x v="0"/>
    <s v="Smartwatch"/>
    <n v="2"/>
    <n v="8000"/>
    <n v="0"/>
    <n v="0"/>
    <n v="16000"/>
    <x v="399"/>
    <s v="Debit Card"/>
    <s v="Delivered"/>
  </r>
  <r>
    <s v="ORD0401"/>
    <d v="2023-02-01T00:00:00"/>
    <s v="CUST1016"/>
    <s v="Pooja Das"/>
    <x v="0"/>
    <x v="4"/>
    <s v="Face Wash"/>
    <n v="3"/>
    <n v="250"/>
    <n v="5"/>
    <n v="37.5"/>
    <n v="712.5"/>
    <x v="400"/>
    <s v="Net Banking"/>
    <s v="Cancelled"/>
  </r>
  <r>
    <s v="ORD0402"/>
    <d v="2023-04-25T00:00:00"/>
    <s v="CUST1401"/>
    <s v="Meera Verma"/>
    <x v="1"/>
    <x v="4"/>
    <s v="Perfume"/>
    <n v="5"/>
    <n v="1800"/>
    <n v="15"/>
    <n v="1350"/>
    <n v="7650"/>
    <x v="401"/>
    <s v="Cash on Delivery"/>
    <s v="Returned"/>
  </r>
  <r>
    <s v="ORD0403"/>
    <d v="2023-12-17T00:00:00"/>
    <s v="CUST1103"/>
    <s v="Anjali Das"/>
    <x v="2"/>
    <x v="1"/>
    <s v="Sugar (2kg)"/>
    <n v="1"/>
    <n v="90"/>
    <n v="0"/>
    <n v="0"/>
    <n v="90"/>
    <x v="402"/>
    <s v="Debit Card"/>
    <s v="Cancelled"/>
  </r>
  <r>
    <s v="ORD0404"/>
    <d v="2023-10-07T00:00:00"/>
    <s v="CUST1150"/>
    <s v="Arun Nair"/>
    <x v="0"/>
    <x v="4"/>
    <s v="Foundation"/>
    <n v="2"/>
    <n v="850"/>
    <n v="25"/>
    <n v="425"/>
    <n v="1275"/>
    <x v="403"/>
    <s v="Credit Card"/>
    <s v="Delivered"/>
  </r>
  <r>
    <s v="ORD0405"/>
    <d v="2023-09-21T00:00:00"/>
    <s v="CUST1135"/>
    <s v="Rohan Nair"/>
    <x v="6"/>
    <x v="0"/>
    <s v="Smartwatch"/>
    <n v="1"/>
    <n v="8000"/>
    <n v="15"/>
    <n v="1200"/>
    <n v="6800"/>
    <x v="404"/>
    <s v="UPI"/>
    <s v="Delivered"/>
  </r>
  <r>
    <s v="ORD0406"/>
    <d v="2023-08-27T00:00:00"/>
    <s v="CUST1305"/>
    <s v="Vivaan Khanna"/>
    <x v="6"/>
    <x v="4"/>
    <s v="Shampoo"/>
    <n v="1"/>
    <n v="300"/>
    <n v="5"/>
    <n v="15"/>
    <n v="285"/>
    <x v="405"/>
    <s v="Cash on Delivery"/>
    <s v="Cancelled"/>
  </r>
  <r>
    <s v="ORD0407"/>
    <d v="2023-10-09T00:00:00"/>
    <s v="CUST1094"/>
    <s v="Suresh Patel"/>
    <x v="7"/>
    <x v="1"/>
    <s v="Rice (5kg)"/>
    <n v="3"/>
    <n v="350"/>
    <n v="20"/>
    <n v="210"/>
    <n v="840"/>
    <x v="406"/>
    <s v="Cash on Delivery"/>
    <s v="Cancelled"/>
  </r>
  <r>
    <s v="ORD0408"/>
    <d v="2023-10-02T00:00:00"/>
    <s v="CUST1339"/>
    <s v="Arjun Joshi"/>
    <x v="3"/>
    <x v="2"/>
    <s v="Office Chair"/>
    <n v="3"/>
    <n v="8500"/>
    <n v="5"/>
    <n v="1275"/>
    <n v="24225"/>
    <x v="407"/>
    <s v="Debit Card"/>
    <s v="Delivered"/>
  </r>
  <r>
    <s v="ORD0409"/>
    <d v="2023-11-13T00:00:00"/>
    <s v="CUST1342"/>
    <s v="Pooja Das"/>
    <x v="2"/>
    <x v="6"/>
    <s v="Dumbbells"/>
    <n v="5"/>
    <n v="2200"/>
    <n v="25"/>
    <n v="2750"/>
    <n v="8250"/>
    <x v="408"/>
    <s v="Net Banking"/>
    <s v="Cancelled"/>
  </r>
  <r>
    <s v="ORD0410"/>
    <d v="2023-05-05T00:00:00"/>
    <s v="CUST1483"/>
    <s v="Diya Mehta"/>
    <x v="6"/>
    <x v="0"/>
    <s v="Charger"/>
    <n v="3"/>
    <n v="800"/>
    <n v="15"/>
    <n v="360"/>
    <n v="2040"/>
    <x v="409"/>
    <s v="Net Banking"/>
    <s v="Delivered"/>
  </r>
  <r>
    <s v="ORD0411"/>
    <d v="2023-01-13T00:00:00"/>
    <s v="CUST1228"/>
    <s v="Kavita Verma"/>
    <x v="6"/>
    <x v="6"/>
    <s v="Running Shoes"/>
    <n v="3"/>
    <n v="3500"/>
    <n v="20"/>
    <n v="2100"/>
    <n v="8400"/>
    <x v="410"/>
    <s v="Credit Card"/>
    <s v="Delivered"/>
  </r>
  <r>
    <s v="ORD0412"/>
    <d v="2023-09-21T00:00:00"/>
    <s v="CUST1320"/>
    <s v="Ananya Iyer"/>
    <x v="2"/>
    <x v="0"/>
    <s v="Smartphone"/>
    <n v="2"/>
    <n v="18000"/>
    <n v="20"/>
    <n v="7200"/>
    <n v="28800"/>
    <x v="411"/>
    <s v="Cash on Delivery"/>
    <s v="Delivered"/>
  </r>
  <r>
    <s v="ORD0413"/>
    <d v="2023-04-16T00:00:00"/>
    <s v="CUST1036"/>
    <s v="Rohan Sharma"/>
    <x v="4"/>
    <x v="6"/>
    <s v="Running Shoes"/>
    <n v="4"/>
    <n v="3500"/>
    <n v="25"/>
    <n v="3500"/>
    <n v="10500"/>
    <x v="412"/>
    <s v="Debit Card"/>
    <s v="Delivered"/>
  </r>
  <r>
    <s v="ORD0414"/>
    <d v="2023-02-14T00:00:00"/>
    <s v="CUST1294"/>
    <s v="Sneha Kumar"/>
    <x v="1"/>
    <x v="0"/>
    <s v="Smartphone"/>
    <n v="2"/>
    <n v="18000"/>
    <n v="10"/>
    <n v="3600"/>
    <n v="32400"/>
    <x v="413"/>
    <s v="Cash on Delivery"/>
    <s v="Returned"/>
  </r>
  <r>
    <s v="ORD0415"/>
    <d v="2023-11-19T00:00:00"/>
    <s v="CUST1060"/>
    <s v="Deepa Sharma"/>
    <x v="0"/>
    <x v="2"/>
    <s v="Wardrobe"/>
    <n v="3"/>
    <n v="18000"/>
    <n v="0"/>
    <n v="0"/>
    <n v="54000"/>
    <x v="414"/>
    <s v="Net Banking"/>
    <s v="Delivered"/>
  </r>
  <r>
    <s v="ORD0416"/>
    <d v="2023-12-25T00:00:00"/>
    <s v="CUST1402"/>
    <s v="Meera Khanna"/>
    <x v="0"/>
    <x v="3"/>
    <s v="Python Basics"/>
    <n v="3"/>
    <n v="499"/>
    <n v="20"/>
    <n v="299.39999999999998"/>
    <n v="1197.5999999999999"/>
    <x v="245"/>
    <s v="Debit Card"/>
    <s v="Returned"/>
  </r>
  <r>
    <s v="ORD0417"/>
    <d v="2023-07-15T00:00:00"/>
    <s v="CUST1112"/>
    <s v="Rohan Mehta"/>
    <x v="6"/>
    <x v="2"/>
    <s v="Side Table"/>
    <n v="1"/>
    <n v="3200"/>
    <n v="15"/>
    <n v="480"/>
    <n v="2720"/>
    <x v="415"/>
    <s v="Credit Card"/>
    <s v="Delivered"/>
  </r>
  <r>
    <s v="ORD0418"/>
    <d v="2023-12-13T00:00:00"/>
    <s v="CUST1284"/>
    <s v="Rohan Gupta"/>
    <x v="5"/>
    <x v="3"/>
    <s v="Novel"/>
    <n v="3"/>
    <n v="299"/>
    <n v="0"/>
    <n v="0"/>
    <n v="897"/>
    <x v="416"/>
    <s v="UPI"/>
    <s v="Cancelled"/>
  </r>
  <r>
    <s v="ORD0419"/>
    <d v="2023-11-02T00:00:00"/>
    <s v="CUST1383"/>
    <s v="Pooja Iyer"/>
    <x v="1"/>
    <x v="2"/>
    <s v="Sofa"/>
    <n v="5"/>
    <n v="25000"/>
    <n v="0"/>
    <n v="0"/>
    <n v="125000"/>
    <x v="417"/>
    <s v="Net Banking"/>
    <s v="Delivered"/>
  </r>
  <r>
    <s v="ORD0420"/>
    <d v="2023-03-24T00:00:00"/>
    <s v="CUST1092"/>
    <s v="Manish Verma"/>
    <x v="4"/>
    <x v="5"/>
    <s v="Jeans"/>
    <n v="5"/>
    <n v="1299"/>
    <n v="10"/>
    <n v="649.5"/>
    <n v="5845.5"/>
    <x v="418"/>
    <s v="Net Banking"/>
    <s v="Delivered"/>
  </r>
  <r>
    <s v="ORD0421"/>
    <d v="2023-05-29T00:00:00"/>
    <s v="CUST1297"/>
    <s v="Kavita Joshi"/>
    <x v="3"/>
    <x v="4"/>
    <s v="Moisturizer"/>
    <n v="3"/>
    <n v="450"/>
    <n v="0"/>
    <n v="0"/>
    <n v="1350"/>
    <x v="419"/>
    <s v="Credit Card"/>
    <s v="Delivered"/>
  </r>
  <r>
    <s v="ORD0422"/>
    <d v="2023-02-21T00:00:00"/>
    <s v="CUST1230"/>
    <s v="Arjun Khanna"/>
    <x v="6"/>
    <x v="1"/>
    <s v="Sugar (2kg)"/>
    <n v="1"/>
    <n v="90"/>
    <n v="5"/>
    <n v="4.5"/>
    <n v="85.5"/>
    <x v="420"/>
    <s v="Net Banking"/>
    <s v="Delivered"/>
  </r>
  <r>
    <s v="ORD0423"/>
    <d v="2023-10-17T00:00:00"/>
    <s v="CUST1160"/>
    <s v="Sneha Singh"/>
    <x v="1"/>
    <x v="6"/>
    <s v="Yoga Mat"/>
    <n v="3"/>
    <n v="700"/>
    <n v="15"/>
    <n v="315"/>
    <n v="1785"/>
    <x v="421"/>
    <s v="Debit Card"/>
    <s v="Delivered"/>
  </r>
  <r>
    <s v="ORD0424"/>
    <d v="2023-03-10T00:00:00"/>
    <s v="CUST1183"/>
    <s v="Meera Bhat"/>
    <x v="0"/>
    <x v="4"/>
    <s v="Perfume"/>
    <n v="3"/>
    <n v="1800"/>
    <n v="15"/>
    <n v="810"/>
    <n v="4590"/>
    <x v="422"/>
    <s v="Credit Card"/>
    <s v="Cancelled"/>
  </r>
  <r>
    <s v="ORD0425"/>
    <d v="2023-02-11T00:00:00"/>
    <s v="CUST1375"/>
    <s v="Ananya Patel"/>
    <x v="5"/>
    <x v="3"/>
    <s v="Data Science 101"/>
    <n v="2"/>
    <n v="599"/>
    <n v="20"/>
    <n v="239.6"/>
    <n v="958.4"/>
    <x v="423"/>
    <s v="Net Banking"/>
    <s v="Delivered"/>
  </r>
  <r>
    <s v="ORD0426"/>
    <d v="2023-10-25T00:00:00"/>
    <s v="CUST1282"/>
    <s v="Rahul Mishra"/>
    <x v="4"/>
    <x v="6"/>
    <s v="Dumbbells"/>
    <n v="5"/>
    <n v="2200"/>
    <n v="5"/>
    <n v="550"/>
    <n v="10450"/>
    <x v="424"/>
    <s v="Credit Card"/>
    <s v="Delivered"/>
  </r>
  <r>
    <s v="ORD0427"/>
    <d v="2023-07-20T00:00:00"/>
    <s v="CUST1068"/>
    <s v="Arun Tiwari"/>
    <x v="0"/>
    <x v="5"/>
    <s v="Sneakers"/>
    <n v="5"/>
    <n v="3499"/>
    <n v="25"/>
    <n v="4373.75"/>
    <n v="13121.25"/>
    <x v="425"/>
    <s v="Cash on Delivery"/>
    <s v="Delivered"/>
  </r>
  <r>
    <s v="ORD0428"/>
    <d v="2023-09-15T00:00:00"/>
    <s v="CUST1387"/>
    <s v="Suresh Reddy"/>
    <x v="4"/>
    <x v="0"/>
    <s v="Charger"/>
    <n v="2"/>
    <n v="800"/>
    <n v="20"/>
    <n v="320"/>
    <n v="1280"/>
    <x v="426"/>
    <s v="Credit Card"/>
    <s v="Delivered"/>
  </r>
  <r>
    <s v="ORD0429"/>
    <d v="2023-10-17T00:00:00"/>
    <s v="CUST1480"/>
    <s v="Pooja Verma"/>
    <x v="2"/>
    <x v="6"/>
    <s v="Cycle"/>
    <n v="2"/>
    <n v="12000"/>
    <n v="25"/>
    <n v="6000"/>
    <n v="18000"/>
    <x v="427"/>
    <s v="Cash on Delivery"/>
    <s v="Delivered"/>
  </r>
  <r>
    <s v="ORD0430"/>
    <d v="2023-02-02T00:00:00"/>
    <s v="CUST1265"/>
    <s v="Pooja Mehta"/>
    <x v="4"/>
    <x v="1"/>
    <s v="Oil (1L)"/>
    <n v="2"/>
    <n v="180"/>
    <n v="0"/>
    <n v="0"/>
    <n v="360"/>
    <x v="428"/>
    <s v="Cash on Delivery"/>
    <s v="Delivered"/>
  </r>
  <r>
    <s v="ORD0431"/>
    <d v="2023-01-21T00:00:00"/>
    <s v="CUST1324"/>
    <s v="Rahul Kumar"/>
    <x v="7"/>
    <x v="4"/>
    <s v="Sunscreen"/>
    <n v="1"/>
    <n v="350"/>
    <n v="25"/>
    <n v="87.5"/>
    <n v="262.5"/>
    <x v="429"/>
    <s v="Cash on Delivery"/>
    <s v="Returned"/>
  </r>
  <r>
    <s v="ORD0432"/>
    <d v="2023-07-07T00:00:00"/>
    <s v="CUST1498"/>
    <s v="Sneha Tiwari"/>
    <x v="1"/>
    <x v="6"/>
    <s v="Cycle"/>
    <n v="1"/>
    <n v="12000"/>
    <n v="20"/>
    <n v="2400"/>
    <n v="9600"/>
    <x v="430"/>
    <s v="Debit Card"/>
    <s v="Delivered"/>
  </r>
  <r>
    <s v="ORD0433"/>
    <d v="2023-09-07T00:00:00"/>
    <s v="CUST1071"/>
    <s v="Arun Nair"/>
    <x v="2"/>
    <x v="3"/>
    <s v="SQL Guide"/>
    <n v="5"/>
    <n v="449"/>
    <n v="0"/>
    <n v="0"/>
    <n v="2245"/>
    <x v="431"/>
    <s v="UPI"/>
    <s v="Cancelled"/>
  </r>
  <r>
    <s v="ORD0434"/>
    <d v="2023-11-26T00:00:00"/>
    <s v="CUST1308"/>
    <s v="Diya Singh"/>
    <x v="1"/>
    <x v="1"/>
    <s v="Dal (1kg)"/>
    <n v="2"/>
    <n v="120"/>
    <n v="5"/>
    <n v="12"/>
    <n v="228"/>
    <x v="432"/>
    <s v="Debit Card"/>
    <s v="Delivered"/>
  </r>
  <r>
    <s v="ORD0435"/>
    <d v="2023-09-04T00:00:00"/>
    <s v="CUST1331"/>
    <s v="Nisha Sharma"/>
    <x v="2"/>
    <x v="4"/>
    <s v="Lipstick"/>
    <n v="4"/>
    <n v="650"/>
    <n v="5"/>
    <n v="130"/>
    <n v="2470"/>
    <x v="433"/>
    <s v="UPI"/>
    <s v="Delivered"/>
  </r>
  <r>
    <s v="ORD0436"/>
    <d v="2023-10-21T00:00:00"/>
    <s v="CUST1456"/>
    <s v="Manish Reddy"/>
    <x v="5"/>
    <x v="6"/>
    <s v="Football"/>
    <n v="2"/>
    <n v="800"/>
    <n v="25"/>
    <n v="400"/>
    <n v="1200"/>
    <x v="434"/>
    <s v="Credit Card"/>
    <s v="Delivered"/>
  </r>
  <r>
    <s v="ORD0437"/>
    <d v="2023-04-03T00:00:00"/>
    <s v="CUST1449"/>
    <s v="Meera Patel"/>
    <x v="2"/>
    <x v="6"/>
    <s v="Dumbbells"/>
    <n v="5"/>
    <n v="2200"/>
    <n v="20"/>
    <n v="2200"/>
    <n v="8800"/>
    <x v="435"/>
    <s v="Cash on Delivery"/>
    <s v="Cancelled"/>
  </r>
  <r>
    <s v="ORD0438"/>
    <d v="2023-08-30T00:00:00"/>
    <s v="CUST1307"/>
    <s v="Rohan Agarwal"/>
    <x v="7"/>
    <x v="3"/>
    <s v="SQL Guide"/>
    <n v="2"/>
    <n v="449"/>
    <n v="5"/>
    <n v="44.9"/>
    <n v="853.1"/>
    <x v="436"/>
    <s v="Net Banking"/>
    <s v="Cancelled"/>
  </r>
  <r>
    <s v="ORD0439"/>
    <d v="2023-05-16T00:00:00"/>
    <s v="CUST1035"/>
    <s v="Sneha Mehta"/>
    <x v="1"/>
    <x v="5"/>
    <s v="Shoes"/>
    <n v="3"/>
    <n v="2499"/>
    <n v="15"/>
    <n v="1124.55"/>
    <n v="6372.45"/>
    <x v="437"/>
    <s v="Credit Card"/>
    <s v="Delivered"/>
  </r>
  <r>
    <s v="ORD0440"/>
    <d v="2023-01-09T00:00:00"/>
    <s v="CUST1076"/>
    <s v="Anjali Gupta"/>
    <x v="7"/>
    <x v="5"/>
    <s v="Jacket"/>
    <n v="5"/>
    <n v="1999"/>
    <n v="25"/>
    <n v="2498.75"/>
    <n v="7496.25"/>
    <x v="438"/>
    <s v="Cash on Delivery"/>
    <s v="Cancelled"/>
  </r>
  <r>
    <s v="ORD0441"/>
    <d v="2023-11-04T00:00:00"/>
    <s v="CUST1047"/>
    <s v="Kavita Reddy"/>
    <x v="5"/>
    <x v="0"/>
    <s v="Speaker"/>
    <n v="5"/>
    <n v="4500"/>
    <n v="20"/>
    <n v="4500"/>
    <n v="18000"/>
    <x v="439"/>
    <s v="Cash on Delivery"/>
    <s v="Cancelled"/>
  </r>
  <r>
    <s v="ORD0442"/>
    <d v="2023-08-04T00:00:00"/>
    <s v="CUST1117"/>
    <s v="Kavita Mehta"/>
    <x v="3"/>
    <x v="1"/>
    <s v="Coffee"/>
    <n v="1"/>
    <n v="400"/>
    <n v="25"/>
    <n v="100"/>
    <n v="300"/>
    <x v="440"/>
    <s v="Net Banking"/>
    <s v="Cancelled"/>
  </r>
  <r>
    <s v="ORD0443"/>
    <d v="2023-02-20T00:00:00"/>
    <s v="CUST1465"/>
    <s v="Ananya Rao"/>
    <x v="1"/>
    <x v="2"/>
    <s v="Study Table"/>
    <n v="3"/>
    <n v="6500"/>
    <n v="15"/>
    <n v="2925"/>
    <n v="16575"/>
    <x v="441"/>
    <s v="Debit Card"/>
    <s v="Delivered"/>
  </r>
  <r>
    <s v="ORD0444"/>
    <d v="2023-01-03T00:00:00"/>
    <s v="CUST1266"/>
    <s v="Aarav Mehta"/>
    <x v="2"/>
    <x v="4"/>
    <s v="Perfume"/>
    <n v="1"/>
    <n v="1800"/>
    <n v="20"/>
    <n v="360"/>
    <n v="1440"/>
    <x v="442"/>
    <s v="Debit Card"/>
    <s v="Returned"/>
  </r>
  <r>
    <s v="ORD0445"/>
    <d v="2023-07-05T00:00:00"/>
    <s v="CUST1133"/>
    <s v="Deepa Pillai"/>
    <x v="3"/>
    <x v="0"/>
    <s v="Laptop"/>
    <n v="4"/>
    <n v="55000"/>
    <n v="25"/>
    <n v="55000"/>
    <n v="165000"/>
    <x v="443"/>
    <s v="Net Banking"/>
    <s v="Delivered"/>
  </r>
  <r>
    <s v="ORD0446"/>
    <d v="2023-12-15T00:00:00"/>
    <s v="CUST1285"/>
    <s v="Kavita Nair"/>
    <x v="3"/>
    <x v="2"/>
    <s v="Side Table"/>
    <n v="2"/>
    <n v="3200"/>
    <n v="15"/>
    <n v="960"/>
    <n v="5440"/>
    <x v="444"/>
    <s v="Net Banking"/>
    <s v="Cancelled"/>
  </r>
  <r>
    <s v="ORD0447"/>
    <d v="2023-09-05T00:00:00"/>
    <s v="CUST1203"/>
    <s v="Rohan Gupta"/>
    <x v="2"/>
    <x v="1"/>
    <s v="Oil (1L)"/>
    <n v="5"/>
    <n v="180"/>
    <n v="10"/>
    <n v="90"/>
    <n v="810"/>
    <x v="445"/>
    <s v="Cash on Delivery"/>
    <s v="Delivered"/>
  </r>
  <r>
    <s v="ORD0448"/>
    <d v="2023-02-21T00:00:00"/>
    <s v="CUST1314"/>
    <s v="Vivaan Nair"/>
    <x v="1"/>
    <x v="5"/>
    <s v="Jacket"/>
    <n v="4"/>
    <n v="1999"/>
    <n v="10"/>
    <n v="799.6"/>
    <n v="7196.4"/>
    <x v="446"/>
    <s v="UPI"/>
    <s v="Delivered"/>
  </r>
  <r>
    <s v="ORD0449"/>
    <d v="2023-03-16T00:00:00"/>
    <s v="CUST1113"/>
    <s v="Pooja Patel"/>
    <x v="5"/>
    <x v="2"/>
    <s v="Sofa"/>
    <n v="4"/>
    <n v="25000"/>
    <n v="0"/>
    <n v="0"/>
    <n v="100000"/>
    <x v="447"/>
    <s v="Cash on Delivery"/>
    <s v="Returned"/>
  </r>
  <r>
    <s v="ORD0450"/>
    <d v="2023-11-11T00:00:00"/>
    <s v="CUST1029"/>
    <s v="Priya Bhat"/>
    <x v="4"/>
    <x v="4"/>
    <s v="Foundation"/>
    <n v="3"/>
    <n v="850"/>
    <n v="25"/>
    <n v="637.5"/>
    <n v="1912.5"/>
    <x v="448"/>
    <s v="UPI"/>
    <s v="Delivered"/>
  </r>
  <r>
    <s v="ORD0451"/>
    <d v="2023-12-03T00:00:00"/>
    <s v="CUST1306"/>
    <s v="Suresh Tiwari"/>
    <x v="2"/>
    <x v="3"/>
    <s v="Business Analytics"/>
    <n v="3"/>
    <n v="699"/>
    <n v="5"/>
    <n v="104.85"/>
    <n v="1992.15"/>
    <x v="449"/>
    <s v="Net Banking"/>
    <s v="Delivered"/>
  </r>
  <r>
    <s v="ORD0452"/>
    <d v="2023-12-12T00:00:00"/>
    <s v="CUST1080"/>
    <s v="Ananya Kumar"/>
    <x v="1"/>
    <x v="0"/>
    <s v="Earbuds"/>
    <n v="2"/>
    <n v="3500"/>
    <n v="25"/>
    <n v="1750"/>
    <n v="5250"/>
    <x v="450"/>
    <s v="Debit Card"/>
    <s v="Returned"/>
  </r>
  <r>
    <s v="ORD0453"/>
    <d v="2023-07-27T00:00:00"/>
    <s v="CUST1035"/>
    <s v="Ananya Mishra"/>
    <x v="6"/>
    <x v="6"/>
    <s v="Football"/>
    <n v="5"/>
    <n v="800"/>
    <n v="0"/>
    <n v="0"/>
    <n v="4000"/>
    <x v="451"/>
    <s v="Net Banking"/>
    <s v="Cancelled"/>
  </r>
  <r>
    <s v="ORD0454"/>
    <d v="2023-06-28T00:00:00"/>
    <s v="CUST1099"/>
    <s v="Arun Mehta"/>
    <x v="5"/>
    <x v="1"/>
    <s v="Coffee"/>
    <n v="3"/>
    <n v="400"/>
    <n v="5"/>
    <n v="60"/>
    <n v="1140"/>
    <x v="452"/>
    <s v="Debit Card"/>
    <s v="Delivered"/>
  </r>
  <r>
    <s v="ORD0455"/>
    <d v="2023-07-28T00:00:00"/>
    <s v="CUST1174"/>
    <s v="Diya Tiwari"/>
    <x v="6"/>
    <x v="6"/>
    <s v="Cricket Bat"/>
    <n v="5"/>
    <n v="2500"/>
    <n v="0"/>
    <n v="0"/>
    <n v="12500"/>
    <x v="453"/>
    <s v="Net Banking"/>
    <s v="Cancelled"/>
  </r>
  <r>
    <s v="ORD0456"/>
    <d v="2023-05-09T00:00:00"/>
    <s v="CUST1124"/>
    <s v="Arjun Das"/>
    <x v="4"/>
    <x v="4"/>
    <s v="Lipstick"/>
    <n v="4"/>
    <n v="650"/>
    <n v="20"/>
    <n v="520"/>
    <n v="2080"/>
    <x v="454"/>
    <s v="Net Banking"/>
    <s v="Delivered"/>
  </r>
  <r>
    <s v="ORD0457"/>
    <d v="2023-09-04T00:00:00"/>
    <s v="CUST1112"/>
    <s v="Sneha Joshi"/>
    <x v="1"/>
    <x v="0"/>
    <s v="Earbuds"/>
    <n v="1"/>
    <n v="3500"/>
    <n v="15"/>
    <n v="525"/>
    <n v="2975"/>
    <x v="455"/>
    <s v="Debit Card"/>
    <s v="Cancelled"/>
  </r>
  <r>
    <s v="ORD0458"/>
    <d v="2023-10-02T00:00:00"/>
    <s v="CUST1204"/>
    <s v="Arjun Patel"/>
    <x v="7"/>
    <x v="0"/>
    <s v="Charger"/>
    <n v="3"/>
    <n v="800"/>
    <n v="5"/>
    <n v="120"/>
    <n v="2280"/>
    <x v="456"/>
    <s v="Cash on Delivery"/>
    <s v="Delivered"/>
  </r>
  <r>
    <s v="ORD0459"/>
    <d v="2023-07-01T00:00:00"/>
    <s v="CUST1349"/>
    <s v="Kiran Bhat"/>
    <x v="2"/>
    <x v="5"/>
    <s v="Jacket"/>
    <n v="3"/>
    <n v="1999"/>
    <n v="5"/>
    <n v="299.85000000000002"/>
    <n v="5697.15"/>
    <x v="457"/>
    <s v="Credit Card"/>
    <s v="Delivered"/>
  </r>
  <r>
    <s v="ORD0460"/>
    <d v="2023-05-16T00:00:00"/>
    <s v="CUST1182"/>
    <s v="Rohan Gupta"/>
    <x v="0"/>
    <x v="5"/>
    <s v="Jeans"/>
    <n v="2"/>
    <n v="1299"/>
    <n v="5"/>
    <n v="129.9"/>
    <n v="2468.1"/>
    <x v="458"/>
    <s v="UPI"/>
    <s v="Returned"/>
  </r>
  <r>
    <s v="ORD0461"/>
    <d v="2023-11-11T00:00:00"/>
    <s v="CUST1190"/>
    <s v="Anjali Joshi"/>
    <x v="4"/>
    <x v="0"/>
    <s v="Speaker"/>
    <n v="5"/>
    <n v="4500"/>
    <n v="0"/>
    <n v="0"/>
    <n v="22500"/>
    <x v="459"/>
    <s v="Net Banking"/>
    <s v="Delivered"/>
  </r>
  <r>
    <s v="ORD0462"/>
    <d v="2023-09-09T00:00:00"/>
    <s v="CUST1384"/>
    <s v="Manish Reddy"/>
    <x v="5"/>
    <x v="5"/>
    <s v="Sneakers"/>
    <n v="5"/>
    <n v="3499"/>
    <n v="10"/>
    <n v="1749.5"/>
    <n v="15745.5"/>
    <x v="460"/>
    <s v="Net Banking"/>
    <s v="Returned"/>
  </r>
  <r>
    <s v="ORD0463"/>
    <d v="2023-09-02T00:00:00"/>
    <s v="CUST1351"/>
    <s v="Priya Das"/>
    <x v="0"/>
    <x v="6"/>
    <s v="Cricket Bat"/>
    <n v="5"/>
    <n v="2500"/>
    <n v="10"/>
    <n v="1250"/>
    <n v="11250"/>
    <x v="461"/>
    <s v="Net Banking"/>
    <s v="Returned"/>
  </r>
  <r>
    <s v="ORD0464"/>
    <d v="2023-06-11T00:00:00"/>
    <s v="CUST1297"/>
    <s v="Diya Joshi"/>
    <x v="3"/>
    <x v="4"/>
    <s v="Moisturizer"/>
    <n v="1"/>
    <n v="450"/>
    <n v="25"/>
    <n v="112.5"/>
    <n v="337.5"/>
    <x v="462"/>
    <s v="Net Banking"/>
    <s v="Delivered"/>
  </r>
  <r>
    <s v="ORD0465"/>
    <d v="2023-04-06T00:00:00"/>
    <s v="CUST1313"/>
    <s v="Arjun Shah"/>
    <x v="7"/>
    <x v="6"/>
    <s v="Yoga Mat"/>
    <n v="2"/>
    <n v="700"/>
    <n v="10"/>
    <n v="140"/>
    <n v="1260"/>
    <x v="463"/>
    <s v="Cash on Delivery"/>
    <s v="Returned"/>
  </r>
  <r>
    <s v="ORD0466"/>
    <d v="2023-04-18T00:00:00"/>
    <s v="CUST1143"/>
    <s v="Arun Nair"/>
    <x v="7"/>
    <x v="2"/>
    <s v="Bed Frame"/>
    <n v="3"/>
    <n v="15000"/>
    <n v="10"/>
    <n v="4500"/>
    <n v="40500"/>
    <x v="464"/>
    <s v="Net Banking"/>
    <s v="Delivered"/>
  </r>
  <r>
    <s v="ORD0467"/>
    <d v="2023-02-21T00:00:00"/>
    <s v="CUST1195"/>
    <s v="Kiran Reddy"/>
    <x v="7"/>
    <x v="4"/>
    <s v="Sunscreen"/>
    <n v="2"/>
    <n v="350"/>
    <n v="20"/>
    <n v="140"/>
    <n v="560"/>
    <x v="465"/>
    <s v="Cash on Delivery"/>
    <s v="Delivered"/>
  </r>
  <r>
    <s v="ORD0468"/>
    <d v="2023-04-01T00:00:00"/>
    <s v="CUST1368"/>
    <s v="Arjun Bhat"/>
    <x v="6"/>
    <x v="2"/>
    <s v="Wardrobe"/>
    <n v="2"/>
    <n v="18000"/>
    <n v="25"/>
    <n v="9000"/>
    <n v="27000"/>
    <x v="466"/>
    <s v="Debit Card"/>
    <s v="Cancelled"/>
  </r>
  <r>
    <s v="ORD0469"/>
    <d v="2023-10-18T00:00:00"/>
    <s v="CUST1110"/>
    <s v="Rahul Bhat"/>
    <x v="0"/>
    <x v="0"/>
    <s v="Smartwatch"/>
    <n v="1"/>
    <n v="8000"/>
    <n v="25"/>
    <n v="2000"/>
    <n v="6000"/>
    <x v="467"/>
    <s v="Cash on Delivery"/>
    <s v="Delivered"/>
  </r>
  <r>
    <s v="ORD0470"/>
    <d v="2023-05-14T00:00:00"/>
    <s v="CUST1131"/>
    <s v="Pooja Sharma"/>
    <x v="1"/>
    <x v="1"/>
    <s v="Oil (1L)"/>
    <n v="5"/>
    <n v="180"/>
    <n v="20"/>
    <n v="180"/>
    <n v="720"/>
    <x v="468"/>
    <s v="UPI"/>
    <s v="Delivered"/>
  </r>
  <r>
    <s v="ORD0471"/>
    <d v="2023-12-14T00:00:00"/>
    <s v="CUST1275"/>
    <s v="Priya Rao"/>
    <x v="3"/>
    <x v="6"/>
    <s v="Football"/>
    <n v="5"/>
    <n v="800"/>
    <n v="20"/>
    <n v="800"/>
    <n v="3200"/>
    <x v="469"/>
    <s v="Debit Card"/>
    <s v="Cancelled"/>
  </r>
  <r>
    <s v="ORD0472"/>
    <d v="2023-09-07T00:00:00"/>
    <s v="CUST1146"/>
    <s v="Arun Reddy"/>
    <x v="7"/>
    <x v="3"/>
    <s v="Finance Book"/>
    <n v="4"/>
    <n v="549"/>
    <n v="0"/>
    <n v="0"/>
    <n v="2196"/>
    <x v="470"/>
    <s v="Debit Card"/>
    <s v="Returned"/>
  </r>
  <r>
    <s v="ORD0473"/>
    <d v="2023-11-20T00:00:00"/>
    <s v="CUST1175"/>
    <s v="Sneha Joshi"/>
    <x v="3"/>
    <x v="6"/>
    <s v="Badminton Set"/>
    <n v="4"/>
    <n v="1500"/>
    <n v="0"/>
    <n v="0"/>
    <n v="6000"/>
    <x v="471"/>
    <s v="Debit Card"/>
    <s v="Delivered"/>
  </r>
  <r>
    <s v="ORD0474"/>
    <d v="2023-11-06T00:00:00"/>
    <s v="CUST1480"/>
    <s v="Pooja Agarwal"/>
    <x v="4"/>
    <x v="4"/>
    <s v="Lipstick"/>
    <n v="3"/>
    <n v="650"/>
    <n v="15"/>
    <n v="292.5"/>
    <n v="1657.5"/>
    <x v="472"/>
    <s v="Cash on Delivery"/>
    <s v="Delivered"/>
  </r>
  <r>
    <s v="ORD0475"/>
    <d v="2023-04-05T00:00:00"/>
    <s v="CUST1128"/>
    <s v="Ananya Iyer"/>
    <x v="7"/>
    <x v="3"/>
    <s v="Python Basics"/>
    <n v="2"/>
    <n v="499"/>
    <n v="25"/>
    <n v="249.5"/>
    <n v="748.5"/>
    <x v="473"/>
    <s v="Cash on Delivery"/>
    <s v="Delivered"/>
  </r>
  <r>
    <s v="ORD0476"/>
    <d v="2023-02-18T00:00:00"/>
    <s v="CUST1203"/>
    <s v="Suresh Patel"/>
    <x v="0"/>
    <x v="0"/>
    <s v="Smartwatch"/>
    <n v="5"/>
    <n v="8000"/>
    <n v="0"/>
    <n v="0"/>
    <n v="40000"/>
    <x v="474"/>
    <s v="Debit Card"/>
    <s v="Cancelled"/>
  </r>
  <r>
    <s v="ORD0477"/>
    <d v="2023-03-21T00:00:00"/>
    <s v="CUST1377"/>
    <s v="Meera Das"/>
    <x v="7"/>
    <x v="0"/>
    <s v="Charger"/>
    <n v="4"/>
    <n v="800"/>
    <n v="10"/>
    <n v="320"/>
    <n v="2880"/>
    <x v="475"/>
    <s v="Credit Card"/>
    <s v="Cancelled"/>
  </r>
  <r>
    <s v="ORD0478"/>
    <d v="2023-03-29T00:00:00"/>
    <s v="CUST1239"/>
    <s v="Deepa Kumar"/>
    <x v="4"/>
    <x v="0"/>
    <s v="Smartphone"/>
    <n v="3"/>
    <n v="18000"/>
    <n v="10"/>
    <n v="5400"/>
    <n v="48600"/>
    <x v="476"/>
    <s v="Credit Card"/>
    <s v="Cancelled"/>
  </r>
  <r>
    <s v="ORD0479"/>
    <d v="2023-04-01T00:00:00"/>
    <s v="CUST1449"/>
    <s v="Manish Pillai"/>
    <x v="6"/>
    <x v="6"/>
    <s v="Badminton Set"/>
    <n v="4"/>
    <n v="1500"/>
    <n v="25"/>
    <n v="1500"/>
    <n v="4500"/>
    <x v="477"/>
    <s v="Debit Card"/>
    <s v="Returned"/>
  </r>
  <r>
    <s v="ORD0480"/>
    <d v="2023-10-04T00:00:00"/>
    <s v="CUST1211"/>
    <s v="Rahul Reddy"/>
    <x v="6"/>
    <x v="5"/>
    <s v="Sneakers"/>
    <n v="1"/>
    <n v="3499"/>
    <n v="15"/>
    <n v="524.85"/>
    <n v="2974.15"/>
    <x v="478"/>
    <s v="UPI"/>
    <s v="Delivered"/>
  </r>
  <r>
    <s v="ORD0481"/>
    <d v="2023-09-25T00:00:00"/>
    <s v="CUST1273"/>
    <s v="Aarav Bhat"/>
    <x v="4"/>
    <x v="3"/>
    <s v="Novel"/>
    <n v="2"/>
    <n v="299"/>
    <n v="10"/>
    <n v="59.8"/>
    <n v="538.20000000000005"/>
    <x v="479"/>
    <s v="Debit Card"/>
    <s v="Delivered"/>
  </r>
  <r>
    <s v="ORD0482"/>
    <d v="2023-08-09T00:00:00"/>
    <s v="CUST1280"/>
    <s v="Pooja Iyer"/>
    <x v="1"/>
    <x v="3"/>
    <s v="Data Science 101"/>
    <n v="5"/>
    <n v="599"/>
    <n v="5"/>
    <n v="149.75"/>
    <n v="2845.25"/>
    <x v="480"/>
    <s v="Net Banking"/>
    <s v="Returned"/>
  </r>
  <r>
    <s v="ORD0483"/>
    <d v="2023-07-22T00:00:00"/>
    <s v="CUST1040"/>
    <s v="Nisha Singh"/>
    <x v="6"/>
    <x v="5"/>
    <s v="Jeans"/>
    <n v="4"/>
    <n v="1299"/>
    <n v="15"/>
    <n v="779.4"/>
    <n v="4416.6000000000004"/>
    <x v="481"/>
    <s v="Debit Card"/>
    <s v="Cancelled"/>
  </r>
  <r>
    <s v="ORD0484"/>
    <d v="2023-05-18T00:00:00"/>
    <s v="CUST1056"/>
    <s v="Arun Khanna"/>
    <x v="4"/>
    <x v="2"/>
    <s v="Study Table"/>
    <n v="1"/>
    <n v="6500"/>
    <n v="5"/>
    <n v="325"/>
    <n v="6175"/>
    <x v="482"/>
    <s v="Debit Card"/>
    <s v="Cancelled"/>
  </r>
  <r>
    <s v="ORD0485"/>
    <d v="2023-09-09T00:00:00"/>
    <s v="CUST1273"/>
    <s v="Aarav Nair"/>
    <x v="0"/>
    <x v="5"/>
    <s v="Kurta"/>
    <n v="1"/>
    <n v="799"/>
    <n v="5"/>
    <n v="39.950000000000003"/>
    <n v="759.05"/>
    <x v="483"/>
    <s v="Debit Card"/>
    <s v="Delivered"/>
  </r>
  <r>
    <s v="ORD0486"/>
    <d v="2023-03-06T00:00:00"/>
    <s v="CUST1007"/>
    <s v="Kavita Iyer"/>
    <x v="3"/>
    <x v="4"/>
    <s v="Lipstick"/>
    <n v="1"/>
    <n v="650"/>
    <n v="5"/>
    <n v="32.5"/>
    <n v="617.5"/>
    <x v="484"/>
    <s v="Cash on Delivery"/>
    <s v="Delivered"/>
  </r>
  <r>
    <s v="ORD0487"/>
    <d v="2023-09-13T00:00:00"/>
    <s v="CUST1384"/>
    <s v="Rohan Verma"/>
    <x v="6"/>
    <x v="1"/>
    <s v="Atta (10kg)"/>
    <n v="1"/>
    <n v="450"/>
    <n v="10"/>
    <n v="45"/>
    <n v="405"/>
    <x v="485"/>
    <s v="Cash on Delivery"/>
    <s v="Delivered"/>
  </r>
  <r>
    <s v="ORD0488"/>
    <d v="2023-10-06T00:00:00"/>
    <s v="CUST1424"/>
    <s v="Aarav Gupta"/>
    <x v="2"/>
    <x v="2"/>
    <s v="Study Table"/>
    <n v="2"/>
    <n v="6500"/>
    <n v="10"/>
    <n v="1300"/>
    <n v="11700"/>
    <x v="486"/>
    <s v="Cash on Delivery"/>
    <s v="Returned"/>
  </r>
  <r>
    <s v="ORD0489"/>
    <d v="2023-05-07T00:00:00"/>
    <s v="CUST1048"/>
    <s v="Suresh Iyer"/>
    <x v="4"/>
    <x v="4"/>
    <s v="Moisturizer"/>
    <n v="2"/>
    <n v="450"/>
    <n v="15"/>
    <n v="135"/>
    <n v="765"/>
    <x v="487"/>
    <s v="Cash on Delivery"/>
    <s v="Delivered"/>
  </r>
  <r>
    <s v="ORD0490"/>
    <d v="2023-06-15T00:00:00"/>
    <s v="CUST1266"/>
    <s v="Diya Kumar"/>
    <x v="4"/>
    <x v="5"/>
    <s v="Shoes"/>
    <n v="1"/>
    <n v="2499"/>
    <n v="25"/>
    <n v="624.75"/>
    <n v="1874.25"/>
    <x v="488"/>
    <s v="Debit Card"/>
    <s v="Delivered"/>
  </r>
  <r>
    <s v="ORD0491"/>
    <d v="2023-07-04T00:00:00"/>
    <s v="CUST1222"/>
    <s v="Arjun Sharma"/>
    <x v="7"/>
    <x v="0"/>
    <s v="Speaker"/>
    <n v="2"/>
    <n v="4500"/>
    <n v="0"/>
    <n v="0"/>
    <n v="9000"/>
    <x v="489"/>
    <s v="Debit Card"/>
    <s v="Cancelled"/>
  </r>
  <r>
    <s v="ORD0492"/>
    <d v="2023-03-03T00:00:00"/>
    <s v="CUST1297"/>
    <s v="Kavita Khanna"/>
    <x v="7"/>
    <x v="2"/>
    <s v="Side Table"/>
    <n v="2"/>
    <n v="3200"/>
    <n v="0"/>
    <n v="0"/>
    <n v="6400"/>
    <x v="490"/>
    <s v="Debit Card"/>
    <s v="Delivered"/>
  </r>
  <r>
    <s v="ORD0493"/>
    <d v="2023-05-08T00:00:00"/>
    <s v="CUST1476"/>
    <s v="Vivaan Verma"/>
    <x v="3"/>
    <x v="5"/>
    <s v="Saree"/>
    <n v="1"/>
    <n v="2500"/>
    <n v="25"/>
    <n v="625"/>
    <n v="1875"/>
    <x v="491"/>
    <s v="Credit Card"/>
    <s v="Cancelled"/>
  </r>
  <r>
    <s v="ORD0494"/>
    <d v="2023-02-24T00:00:00"/>
    <s v="CUST1403"/>
    <s v="Pooja Das"/>
    <x v="2"/>
    <x v="5"/>
    <s v="Saree"/>
    <n v="2"/>
    <n v="2500"/>
    <n v="10"/>
    <n v="500"/>
    <n v="4500"/>
    <x v="492"/>
    <s v="UPI"/>
    <s v="Returned"/>
  </r>
  <r>
    <s v="ORD0495"/>
    <d v="2023-07-03T00:00:00"/>
    <s v="CUST1224"/>
    <s v="Deepa Rao"/>
    <x v="4"/>
    <x v="4"/>
    <s v="Shampoo"/>
    <n v="3"/>
    <n v="300"/>
    <n v="0"/>
    <n v="0"/>
    <n v="900"/>
    <x v="493"/>
    <s v="Credit Card"/>
    <s v="Cancelled"/>
  </r>
  <r>
    <s v="ORD0496"/>
    <d v="2023-04-06T00:00:00"/>
    <s v="CUST1444"/>
    <s v="Anjali Mishra"/>
    <x v="7"/>
    <x v="6"/>
    <s v="Yoga Mat"/>
    <n v="3"/>
    <n v="700"/>
    <n v="25"/>
    <n v="525"/>
    <n v="1575"/>
    <x v="494"/>
    <s v="UPI"/>
    <s v="Cancelled"/>
  </r>
  <r>
    <s v="ORD0497"/>
    <d v="2023-03-21T00:00:00"/>
    <s v="CUST1000"/>
    <s v="Suresh Mehta"/>
    <x v="7"/>
    <x v="2"/>
    <s v="Bookshelf"/>
    <n v="3"/>
    <n v="4200"/>
    <n v="20"/>
    <n v="2520"/>
    <n v="10080"/>
    <x v="495"/>
    <s v="UPI"/>
    <s v="Cancelled"/>
  </r>
  <r>
    <s v="ORD0498"/>
    <d v="2023-07-06T00:00:00"/>
    <s v="CUST1337"/>
    <s v="Deepa Mehta"/>
    <x v="2"/>
    <x v="3"/>
    <s v="Business Analytics"/>
    <n v="2"/>
    <n v="699"/>
    <n v="10"/>
    <n v="139.80000000000001"/>
    <n v="1258.2"/>
    <x v="496"/>
    <s v="Net Banking"/>
    <s v="Returned"/>
  </r>
  <r>
    <s v="ORD0499"/>
    <d v="2023-10-10T00:00:00"/>
    <s v="CUST1164"/>
    <s v="Diya Gupta"/>
    <x v="0"/>
    <x v="5"/>
    <s v="Jacket"/>
    <n v="3"/>
    <n v="1999"/>
    <n v="10"/>
    <n v="599.70000000000005"/>
    <n v="5397.3"/>
    <x v="497"/>
    <s v="UPI"/>
    <s v="Delivered"/>
  </r>
  <r>
    <s v="ORD0500"/>
    <d v="2023-04-02T00:00:00"/>
    <s v="CUST1050"/>
    <s v="Vivaan Agarwal"/>
    <x v="1"/>
    <x v="3"/>
    <s v="Python Basics"/>
    <n v="2"/>
    <n v="499"/>
    <n v="0"/>
    <n v="0"/>
    <n v="998"/>
    <x v="498"/>
    <s v="Cash on Delivery"/>
    <s v="Cancelled"/>
  </r>
  <r>
    <s v="ORD0501"/>
    <d v="2023-11-16T00:00:00"/>
    <s v="CUST1310"/>
    <s v="Ananya Sharma"/>
    <x v="2"/>
    <x v="4"/>
    <s v="Foundation"/>
    <n v="3"/>
    <n v="850"/>
    <n v="0"/>
    <n v="0"/>
    <n v="2550"/>
    <x v="499"/>
    <s v="Cash on Delivery"/>
    <s v="Delivered"/>
  </r>
  <r>
    <s v="ORD0502"/>
    <d v="2023-08-28T00:00:00"/>
    <s v="CUST1480"/>
    <s v="Nisha Shah"/>
    <x v="5"/>
    <x v="3"/>
    <s v="Finance Book"/>
    <n v="1"/>
    <n v="549"/>
    <n v="10"/>
    <n v="54.9"/>
    <n v="494.1"/>
    <x v="500"/>
    <s v="Net Banking"/>
    <s v="Delivered"/>
  </r>
  <r>
    <s v="ORD0503"/>
    <d v="2023-09-28T00:00:00"/>
    <s v="CUST1110"/>
    <s v="Suresh Gupta"/>
    <x v="0"/>
    <x v="0"/>
    <s v="Charger"/>
    <n v="1"/>
    <n v="800"/>
    <n v="10"/>
    <n v="80"/>
    <n v="720"/>
    <x v="501"/>
    <s v="Credit Card"/>
    <s v="Cancelled"/>
  </r>
  <r>
    <s v="ORD0504"/>
    <d v="2023-07-17T00:00:00"/>
    <s v="CUST1320"/>
    <s v="Priya Mishra"/>
    <x v="1"/>
    <x v="5"/>
    <s v="Jeans"/>
    <n v="5"/>
    <n v="1299"/>
    <n v="25"/>
    <n v="1623.75"/>
    <n v="4871.25"/>
    <x v="502"/>
    <s v="UPI"/>
    <s v="Cancelled"/>
  </r>
  <r>
    <s v="ORD0505"/>
    <d v="2023-07-03T00:00:00"/>
    <s v="CUST1092"/>
    <s v="Deepa Mehta"/>
    <x v="3"/>
    <x v="4"/>
    <s v="Lipstick"/>
    <n v="4"/>
    <n v="650"/>
    <n v="0"/>
    <n v="0"/>
    <n v="2600"/>
    <x v="503"/>
    <s v="Credit Card"/>
    <s v="Cancelled"/>
  </r>
  <r>
    <s v="ORD0506"/>
    <d v="2023-11-04T00:00:00"/>
    <s v="CUST1166"/>
    <s v="Pooja Pillai"/>
    <x v="1"/>
    <x v="2"/>
    <s v="Bookshelf"/>
    <n v="3"/>
    <n v="4200"/>
    <n v="20"/>
    <n v="2520"/>
    <n v="10080"/>
    <x v="504"/>
    <s v="Debit Card"/>
    <s v="Cancelled"/>
  </r>
  <r>
    <s v="ORD0507"/>
    <d v="2023-05-04T00:00:00"/>
    <s v="CUST1474"/>
    <s v="Rahul Shah"/>
    <x v="4"/>
    <x v="6"/>
    <s v="Badminton Set"/>
    <n v="2"/>
    <n v="1500"/>
    <n v="15"/>
    <n v="450"/>
    <n v="2550"/>
    <x v="505"/>
    <s v="Cash on Delivery"/>
    <s v="Returned"/>
  </r>
  <r>
    <s v="ORD0508"/>
    <d v="2023-01-01T00:00:00"/>
    <s v="CUST1069"/>
    <s v="Meera Sharma"/>
    <x v="6"/>
    <x v="4"/>
    <s v="Moisturizer"/>
    <n v="3"/>
    <n v="450"/>
    <n v="20"/>
    <n v="270"/>
    <n v="1080"/>
    <x v="506"/>
    <s v="Credit Card"/>
    <s v="Delivered"/>
  </r>
  <r>
    <s v="ORD0509"/>
    <d v="2023-06-11T00:00:00"/>
    <s v="CUST1292"/>
    <s v="Manish Reddy"/>
    <x v="0"/>
    <x v="0"/>
    <s v="Speaker"/>
    <n v="3"/>
    <n v="4500"/>
    <n v="20"/>
    <n v="2700"/>
    <n v="10800"/>
    <x v="507"/>
    <s v="UPI"/>
    <s v="Returned"/>
  </r>
  <r>
    <s v="ORD0510"/>
    <d v="2023-07-02T00:00:00"/>
    <s v="CUST1127"/>
    <s v="Sneha Kumar"/>
    <x v="6"/>
    <x v="5"/>
    <s v="Jeans"/>
    <n v="3"/>
    <n v="1299"/>
    <n v="10"/>
    <n v="389.7"/>
    <n v="3507.3"/>
    <x v="508"/>
    <s v="UPI"/>
    <s v="Cancelled"/>
  </r>
  <r>
    <s v="ORD0511"/>
    <d v="2023-07-24T00:00:00"/>
    <s v="CUST1247"/>
    <s v="Priya Bhat"/>
    <x v="0"/>
    <x v="6"/>
    <s v="Football"/>
    <n v="1"/>
    <n v="800"/>
    <n v="25"/>
    <n v="200"/>
    <n v="600"/>
    <x v="509"/>
    <s v="Net Banking"/>
    <s v="Delivered"/>
  </r>
  <r>
    <s v="ORD0512"/>
    <d v="2023-01-20T00:00:00"/>
    <s v="CUST1028"/>
    <s v="Arjun Shah"/>
    <x v="1"/>
    <x v="4"/>
    <s v="Face Wash"/>
    <n v="5"/>
    <n v="250"/>
    <n v="15"/>
    <n v="187.5"/>
    <n v="1062.5"/>
    <x v="510"/>
    <s v="Cash on Delivery"/>
    <s v="Delivered"/>
  </r>
  <r>
    <s v="ORD0513"/>
    <d v="2023-04-27T00:00:00"/>
    <s v="CUST1323"/>
    <s v="Vijay Verma"/>
    <x v="6"/>
    <x v="4"/>
    <s v="Perfume"/>
    <n v="5"/>
    <n v="1800"/>
    <n v="0"/>
    <n v="0"/>
    <n v="9000"/>
    <x v="511"/>
    <s v="Net Banking"/>
    <s v="Delivered"/>
  </r>
  <r>
    <s v="ORD0514"/>
    <d v="2023-06-13T00:00:00"/>
    <s v="CUST1113"/>
    <s v="Rohan Verma"/>
    <x v="1"/>
    <x v="6"/>
    <s v="Badminton Set"/>
    <n v="2"/>
    <n v="1500"/>
    <n v="10"/>
    <n v="300"/>
    <n v="2700"/>
    <x v="512"/>
    <s v="Cash on Delivery"/>
    <s v="Cancelled"/>
  </r>
  <r>
    <s v="ORD0515"/>
    <d v="2023-10-22T00:00:00"/>
    <s v="CUST1201"/>
    <s v="Rohan Reddy"/>
    <x v="3"/>
    <x v="6"/>
    <s v="Cricket Bat"/>
    <n v="2"/>
    <n v="2500"/>
    <n v="15"/>
    <n v="750"/>
    <n v="4250"/>
    <x v="513"/>
    <s v="UPI"/>
    <s v="Returned"/>
  </r>
  <r>
    <s v="ORD0516"/>
    <d v="2023-10-20T00:00:00"/>
    <s v="CUST1204"/>
    <s v="Suresh Pillai"/>
    <x v="7"/>
    <x v="4"/>
    <s v="Moisturizer"/>
    <n v="5"/>
    <n v="450"/>
    <n v="15"/>
    <n v="337.5"/>
    <n v="1912.5"/>
    <x v="514"/>
    <s v="Credit Card"/>
    <s v="Returned"/>
  </r>
  <r>
    <s v="ORD0517"/>
    <d v="2023-10-14T00:00:00"/>
    <s v="CUST1287"/>
    <s v="Anjali Tiwari"/>
    <x v="2"/>
    <x v="5"/>
    <s v="Saree"/>
    <n v="4"/>
    <n v="2500"/>
    <n v="25"/>
    <n v="2500"/>
    <n v="7500"/>
    <x v="515"/>
    <s v="Credit Card"/>
    <s v="Delivered"/>
  </r>
  <r>
    <s v="ORD0518"/>
    <d v="2023-05-17T00:00:00"/>
    <s v="CUST1045"/>
    <s v="Diya Pillai"/>
    <x v="1"/>
    <x v="3"/>
    <s v="SQL Guide"/>
    <n v="3"/>
    <n v="449"/>
    <n v="25"/>
    <n v="336.75"/>
    <n v="1010.25"/>
    <x v="516"/>
    <s v="Debit Card"/>
    <s v="Delivered"/>
  </r>
  <r>
    <s v="ORD0519"/>
    <d v="2023-04-08T00:00:00"/>
    <s v="CUST1156"/>
    <s v="Priya Shah"/>
    <x v="4"/>
    <x v="1"/>
    <s v="Oil (1L)"/>
    <n v="5"/>
    <n v="180"/>
    <n v="25"/>
    <n v="225"/>
    <n v="675"/>
    <x v="517"/>
    <s v="Net Banking"/>
    <s v="Delivered"/>
  </r>
  <r>
    <s v="ORD0520"/>
    <d v="2023-08-14T00:00:00"/>
    <s v="CUST1079"/>
    <s v="Ananya Gupta"/>
    <x v="5"/>
    <x v="0"/>
    <s v="Speaker"/>
    <n v="2"/>
    <n v="4500"/>
    <n v="5"/>
    <n v="450"/>
    <n v="8550"/>
    <x v="518"/>
    <s v="Credit Card"/>
    <s v="Cancelled"/>
  </r>
  <r>
    <s v="ORD0521"/>
    <d v="2023-03-17T00:00:00"/>
    <s v="CUST1411"/>
    <s v="Diya Rao"/>
    <x v="4"/>
    <x v="3"/>
    <s v="Novel"/>
    <n v="3"/>
    <n v="299"/>
    <n v="0"/>
    <n v="0"/>
    <n v="897"/>
    <x v="519"/>
    <s v="Cash on Delivery"/>
    <s v="Delivered"/>
  </r>
  <r>
    <s v="ORD0522"/>
    <d v="2023-06-19T00:00:00"/>
    <s v="CUST1267"/>
    <s v="Rahul Mishra"/>
    <x v="4"/>
    <x v="5"/>
    <s v="Shoes"/>
    <n v="5"/>
    <n v="2499"/>
    <n v="5"/>
    <n v="624.75"/>
    <n v="11870.25"/>
    <x v="520"/>
    <s v="Net Banking"/>
    <s v="Delivered"/>
  </r>
  <r>
    <s v="ORD0523"/>
    <d v="2023-12-22T00:00:00"/>
    <s v="CUST1339"/>
    <s v="Suresh Verma"/>
    <x v="6"/>
    <x v="4"/>
    <s v="Perfume"/>
    <n v="1"/>
    <n v="1800"/>
    <n v="15"/>
    <n v="270"/>
    <n v="1530"/>
    <x v="521"/>
    <s v="Credit Card"/>
    <s v="Delivered"/>
  </r>
  <r>
    <s v="ORD0524"/>
    <d v="2023-05-26T00:00:00"/>
    <s v="CUST1335"/>
    <s v="Aarav Patel"/>
    <x v="1"/>
    <x v="5"/>
    <s v="Sneakers"/>
    <n v="5"/>
    <n v="3499"/>
    <n v="10"/>
    <n v="1749.5"/>
    <n v="15745.5"/>
    <x v="522"/>
    <s v="Debit Card"/>
    <s v="Delivered"/>
  </r>
  <r>
    <s v="ORD0525"/>
    <d v="2023-02-25T00:00:00"/>
    <s v="CUST1260"/>
    <s v="Diya Joshi"/>
    <x v="4"/>
    <x v="0"/>
    <s v="Earbuds"/>
    <n v="4"/>
    <n v="3500"/>
    <n v="5"/>
    <n v="700"/>
    <n v="13300"/>
    <x v="523"/>
    <s v="Net Banking"/>
    <s v="Cancelled"/>
  </r>
  <r>
    <s v="ORD0526"/>
    <d v="2023-02-15T00:00:00"/>
    <s v="CUST1364"/>
    <s v="Aarav Verma"/>
    <x v="2"/>
    <x v="5"/>
    <s v="Jeans"/>
    <n v="5"/>
    <n v="1299"/>
    <n v="15"/>
    <n v="974.25"/>
    <n v="5520.75"/>
    <x v="524"/>
    <s v="Net Banking"/>
    <s v="Delivered"/>
  </r>
  <r>
    <s v="ORD0527"/>
    <d v="2023-06-20T00:00:00"/>
    <s v="CUST1180"/>
    <s v="Pooja Rao"/>
    <x v="2"/>
    <x v="2"/>
    <s v="Wardrobe"/>
    <n v="2"/>
    <n v="18000"/>
    <n v="0"/>
    <n v="0"/>
    <n v="36000"/>
    <x v="525"/>
    <s v="Net Banking"/>
    <s v="Delivered"/>
  </r>
  <r>
    <s v="ORD0528"/>
    <d v="2023-02-01T00:00:00"/>
    <s v="CUST1485"/>
    <s v="Rahul Singh"/>
    <x v="7"/>
    <x v="4"/>
    <s v="Sunscreen"/>
    <n v="4"/>
    <n v="350"/>
    <n v="0"/>
    <n v="0"/>
    <n v="1400"/>
    <x v="526"/>
    <s v="Debit Card"/>
    <s v="Returned"/>
  </r>
  <r>
    <s v="ORD0529"/>
    <d v="2023-12-03T00:00:00"/>
    <s v="CUST1313"/>
    <s v="Sneha Pillai"/>
    <x v="2"/>
    <x v="5"/>
    <s v="T-Shirt"/>
    <n v="4"/>
    <n v="499"/>
    <n v="20"/>
    <n v="399.2"/>
    <n v="1596.8"/>
    <x v="527"/>
    <s v="Net Banking"/>
    <s v="Delivered"/>
  </r>
  <r>
    <s v="ORD0530"/>
    <d v="2023-08-07T00:00:00"/>
    <s v="CUST1105"/>
    <s v="Rohan Agarwal"/>
    <x v="2"/>
    <x v="1"/>
    <s v="Sugar (2kg)"/>
    <n v="3"/>
    <n v="90"/>
    <n v="15"/>
    <n v="40.5"/>
    <n v="229.5"/>
    <x v="528"/>
    <s v="Credit Card"/>
    <s v="Delivered"/>
  </r>
  <r>
    <s v="ORD0531"/>
    <d v="2023-12-19T00:00:00"/>
    <s v="CUST1499"/>
    <s v="Rohan Agarwal"/>
    <x v="7"/>
    <x v="4"/>
    <s v="Foundation"/>
    <n v="2"/>
    <n v="850"/>
    <n v="15"/>
    <n v="255"/>
    <n v="1445"/>
    <x v="529"/>
    <s v="Debit Card"/>
    <s v="Delivered"/>
  </r>
  <r>
    <s v="ORD0532"/>
    <d v="2023-10-13T00:00:00"/>
    <s v="CUST1450"/>
    <s v="Rohan Sharma"/>
    <x v="3"/>
    <x v="6"/>
    <s v="Cycle"/>
    <n v="1"/>
    <n v="12000"/>
    <n v="5"/>
    <n v="600"/>
    <n v="11400"/>
    <x v="530"/>
    <s v="Cash on Delivery"/>
    <s v="Returned"/>
  </r>
  <r>
    <s v="ORD0533"/>
    <d v="2023-06-05T00:00:00"/>
    <s v="CUST1054"/>
    <s v="Rohan Nair"/>
    <x v="5"/>
    <x v="2"/>
    <s v="Bed Frame"/>
    <n v="3"/>
    <n v="15000"/>
    <n v="5"/>
    <n v="2250"/>
    <n v="42750"/>
    <x v="531"/>
    <s v="Net Banking"/>
    <s v="Cancelled"/>
  </r>
  <r>
    <s v="ORD0534"/>
    <d v="2023-05-17T00:00:00"/>
    <s v="CUST1118"/>
    <s v="Aarav Shah"/>
    <x v="0"/>
    <x v="6"/>
    <s v="Badminton Set"/>
    <n v="5"/>
    <n v="1500"/>
    <n v="5"/>
    <n v="375"/>
    <n v="7125"/>
    <x v="532"/>
    <s v="Cash on Delivery"/>
    <s v="Delivered"/>
  </r>
  <r>
    <s v="ORD0535"/>
    <d v="2023-09-15T00:00:00"/>
    <s v="CUST1094"/>
    <s v="Vijay Bhat"/>
    <x v="4"/>
    <x v="3"/>
    <s v="Business Analytics"/>
    <n v="4"/>
    <n v="699"/>
    <n v="25"/>
    <n v="699"/>
    <n v="2097"/>
    <x v="533"/>
    <s v="Credit Card"/>
    <s v="Delivered"/>
  </r>
  <r>
    <s v="ORD0536"/>
    <d v="2023-04-09T00:00:00"/>
    <s v="CUST1486"/>
    <s v="Nisha Singh"/>
    <x v="2"/>
    <x v="5"/>
    <s v="T-Shirt"/>
    <n v="4"/>
    <n v="499"/>
    <n v="0"/>
    <n v="0"/>
    <n v="1996"/>
    <x v="534"/>
    <s v="Credit Card"/>
    <s v="Delivered"/>
  </r>
  <r>
    <s v="ORD0537"/>
    <d v="2023-04-01T00:00:00"/>
    <s v="CUST1443"/>
    <s v="Arun Singh"/>
    <x v="1"/>
    <x v="2"/>
    <s v="Side Table"/>
    <n v="5"/>
    <n v="3200"/>
    <n v="15"/>
    <n v="2400"/>
    <n v="13600"/>
    <x v="535"/>
    <s v="Cash on Delivery"/>
    <s v="Delivered"/>
  </r>
  <r>
    <s v="ORD0538"/>
    <d v="2023-11-08T00:00:00"/>
    <s v="CUST1313"/>
    <s v="Manish Khanna"/>
    <x v="5"/>
    <x v="4"/>
    <s v="Face Wash"/>
    <n v="4"/>
    <n v="250"/>
    <n v="25"/>
    <n v="250"/>
    <n v="750"/>
    <x v="536"/>
    <s v="Net Banking"/>
    <s v="Delivered"/>
  </r>
  <r>
    <s v="ORD0539"/>
    <d v="2023-08-20T00:00:00"/>
    <s v="CUST1202"/>
    <s v="Vivaan Mishra"/>
    <x v="1"/>
    <x v="2"/>
    <s v="Side Table"/>
    <n v="1"/>
    <n v="3200"/>
    <n v="5"/>
    <n v="160"/>
    <n v="3040"/>
    <x v="537"/>
    <s v="Net Banking"/>
    <s v="Delivered"/>
  </r>
  <r>
    <s v="ORD0540"/>
    <d v="2023-04-08T00:00:00"/>
    <s v="CUST1146"/>
    <s v="Arun Nair"/>
    <x v="1"/>
    <x v="1"/>
    <s v="Atta (10kg)"/>
    <n v="4"/>
    <n v="450"/>
    <n v="10"/>
    <n v="180"/>
    <n v="1620"/>
    <x v="538"/>
    <s v="Debit Card"/>
    <s v="Cancelled"/>
  </r>
  <r>
    <s v="ORD0541"/>
    <d v="2023-01-28T00:00:00"/>
    <s v="CUST1231"/>
    <s v="Ananya Tiwari"/>
    <x v="0"/>
    <x v="4"/>
    <s v="Foundation"/>
    <n v="2"/>
    <n v="850"/>
    <n v="15"/>
    <n v="255"/>
    <n v="1445"/>
    <x v="539"/>
    <s v="Credit Card"/>
    <s v="Cancelled"/>
  </r>
  <r>
    <s v="ORD0542"/>
    <d v="2023-12-23T00:00:00"/>
    <s v="CUST1012"/>
    <s v="Priya Das"/>
    <x v="2"/>
    <x v="6"/>
    <s v="Football"/>
    <n v="4"/>
    <n v="800"/>
    <n v="15"/>
    <n v="480"/>
    <n v="2720"/>
    <x v="540"/>
    <s v="Cash on Delivery"/>
    <s v="Delivered"/>
  </r>
  <r>
    <s v="ORD0543"/>
    <d v="2023-05-09T00:00:00"/>
    <s v="CUST1046"/>
    <s v="Diya Das"/>
    <x v="3"/>
    <x v="1"/>
    <s v="Tea Powder"/>
    <n v="2"/>
    <n v="250"/>
    <n v="25"/>
    <n v="125"/>
    <n v="375"/>
    <x v="541"/>
    <s v="UPI"/>
    <s v="Cancelled"/>
  </r>
  <r>
    <s v="ORD0544"/>
    <d v="2023-12-29T00:00:00"/>
    <s v="CUST1193"/>
    <s v="Deepa Mehta"/>
    <x v="5"/>
    <x v="2"/>
    <s v="Bed Frame"/>
    <n v="5"/>
    <n v="15000"/>
    <n v="20"/>
    <n v="15000"/>
    <n v="60000"/>
    <x v="542"/>
    <s v="Credit Card"/>
    <s v="Delivered"/>
  </r>
  <r>
    <s v="ORD0545"/>
    <d v="2023-10-17T00:00:00"/>
    <s v="CUST1091"/>
    <s v="Vivaan Pillai"/>
    <x v="6"/>
    <x v="3"/>
    <s v="Finance Book"/>
    <n v="2"/>
    <n v="549"/>
    <n v="5"/>
    <n v="54.9"/>
    <n v="1043.0999999999999"/>
    <x v="543"/>
    <s v="Debit Card"/>
    <s v="Returned"/>
  </r>
  <r>
    <s v="ORD0546"/>
    <d v="2023-05-28T00:00:00"/>
    <s v="CUST1001"/>
    <s v="Anjali Kumar"/>
    <x v="5"/>
    <x v="4"/>
    <s v="Shampoo"/>
    <n v="1"/>
    <n v="300"/>
    <n v="5"/>
    <n v="15"/>
    <n v="285"/>
    <x v="544"/>
    <s v="Cash on Delivery"/>
    <s v="Returned"/>
  </r>
  <r>
    <s v="ORD0547"/>
    <d v="2023-09-13T00:00:00"/>
    <s v="CUST1121"/>
    <s v="Kiran Agarwal"/>
    <x v="4"/>
    <x v="6"/>
    <s v="Running Shoes"/>
    <n v="1"/>
    <n v="3500"/>
    <n v="20"/>
    <n v="700"/>
    <n v="2800"/>
    <x v="545"/>
    <s v="Cash on Delivery"/>
    <s v="Returned"/>
  </r>
  <r>
    <s v="ORD0548"/>
    <d v="2023-08-15T00:00:00"/>
    <s v="CUST1280"/>
    <s v="Rahul Khanna"/>
    <x v="2"/>
    <x v="0"/>
    <s v="Tablet"/>
    <n v="5"/>
    <n v="22000"/>
    <n v="0"/>
    <n v="0"/>
    <n v="110000"/>
    <x v="546"/>
    <s v="UPI"/>
    <s v="Delivered"/>
  </r>
  <r>
    <s v="ORD0549"/>
    <d v="2023-03-17T00:00:00"/>
    <s v="CUST1016"/>
    <s v="Manish Khanna"/>
    <x v="6"/>
    <x v="0"/>
    <s v="Charger"/>
    <n v="3"/>
    <n v="800"/>
    <n v="0"/>
    <n v="0"/>
    <n v="2400"/>
    <x v="547"/>
    <s v="Debit Card"/>
    <s v="Delivered"/>
  </r>
  <r>
    <s v="ORD0550"/>
    <d v="2023-01-26T00:00:00"/>
    <s v="CUST1312"/>
    <s v="Anjali Agarwal"/>
    <x v="7"/>
    <x v="0"/>
    <s v="Smartwatch"/>
    <n v="2"/>
    <n v="8000"/>
    <n v="5"/>
    <n v="800"/>
    <n v="15200"/>
    <x v="548"/>
    <s v="Cash on Delivery"/>
    <s v="Cancelled"/>
  </r>
  <r>
    <s v="ORD0551"/>
    <d v="2023-07-04T00:00:00"/>
    <s v="CUST1194"/>
    <s v="Ananya Pillai"/>
    <x v="0"/>
    <x v="0"/>
    <s v="Smartphone"/>
    <n v="3"/>
    <n v="18000"/>
    <n v="10"/>
    <n v="5400"/>
    <n v="48600"/>
    <x v="549"/>
    <s v="Debit Card"/>
    <s v="Returned"/>
  </r>
  <r>
    <s v="ORD0552"/>
    <d v="2023-03-10T00:00:00"/>
    <s v="CUST1268"/>
    <s v="Kiran Iyer"/>
    <x v="5"/>
    <x v="0"/>
    <s v="Charger"/>
    <n v="3"/>
    <n v="800"/>
    <n v="10"/>
    <n v="240"/>
    <n v="2160"/>
    <x v="550"/>
    <s v="UPI"/>
    <s v="Cancelled"/>
  </r>
  <r>
    <s v="ORD0553"/>
    <d v="2023-11-19T00:00:00"/>
    <s v="CUST1478"/>
    <s v="Meera Pillai"/>
    <x v="3"/>
    <x v="6"/>
    <s v="Cricket Bat"/>
    <n v="4"/>
    <n v="2500"/>
    <n v="25"/>
    <n v="2500"/>
    <n v="7500"/>
    <x v="551"/>
    <s v="Debit Card"/>
    <s v="Cancelled"/>
  </r>
  <r>
    <s v="ORD0554"/>
    <d v="2023-10-22T00:00:00"/>
    <s v="CUST1266"/>
    <s v="Kavita Bhat"/>
    <x v="7"/>
    <x v="6"/>
    <s v="Yoga Mat"/>
    <n v="2"/>
    <n v="700"/>
    <n v="20"/>
    <n v="280"/>
    <n v="1120"/>
    <x v="552"/>
    <s v="Net Banking"/>
    <s v="Delivered"/>
  </r>
  <r>
    <s v="ORD0555"/>
    <d v="2023-12-29T00:00:00"/>
    <s v="CUST1320"/>
    <s v="Diya Iyer"/>
    <x v="1"/>
    <x v="1"/>
    <s v="Dal (1kg)"/>
    <n v="1"/>
    <n v="120"/>
    <n v="0"/>
    <n v="0"/>
    <n v="120"/>
    <x v="553"/>
    <s v="Cash on Delivery"/>
    <s v="Delivered"/>
  </r>
  <r>
    <s v="ORD0556"/>
    <d v="2023-06-20T00:00:00"/>
    <s v="CUST1353"/>
    <s v="Meera Kumar"/>
    <x v="0"/>
    <x v="1"/>
    <s v="Sugar (2kg)"/>
    <n v="2"/>
    <n v="90"/>
    <n v="0"/>
    <n v="0"/>
    <n v="180"/>
    <x v="554"/>
    <s v="Debit Card"/>
    <s v="Delivered"/>
  </r>
  <r>
    <s v="ORD0557"/>
    <d v="2023-09-17T00:00:00"/>
    <s v="CUST1174"/>
    <s v="Vijay Agarwal"/>
    <x v="5"/>
    <x v="6"/>
    <s v="Yoga Mat"/>
    <n v="1"/>
    <n v="700"/>
    <n v="0"/>
    <n v="0"/>
    <n v="700"/>
    <x v="555"/>
    <s v="Credit Card"/>
    <s v="Delivered"/>
  </r>
  <r>
    <s v="ORD0558"/>
    <d v="2023-06-19T00:00:00"/>
    <s v="CUST1330"/>
    <s v="Rohan Bhat"/>
    <x v="7"/>
    <x v="3"/>
    <s v="Data Science 101"/>
    <n v="4"/>
    <n v="599"/>
    <n v="15"/>
    <n v="359.4"/>
    <n v="2036.6"/>
    <x v="556"/>
    <s v="Cash on Delivery"/>
    <s v="Cancelled"/>
  </r>
  <r>
    <s v="ORD0559"/>
    <d v="2023-06-21T00:00:00"/>
    <s v="CUST1266"/>
    <s v="Meera Agarwal"/>
    <x v="3"/>
    <x v="2"/>
    <s v="Side Table"/>
    <n v="4"/>
    <n v="3200"/>
    <n v="25"/>
    <n v="3200"/>
    <n v="9600"/>
    <x v="557"/>
    <s v="Net Banking"/>
    <s v="Cancelled"/>
  </r>
  <r>
    <s v="ORD0560"/>
    <d v="2023-01-10T00:00:00"/>
    <s v="CUST1076"/>
    <s v="Rahul Sharma"/>
    <x v="3"/>
    <x v="5"/>
    <s v="Jacket"/>
    <n v="3"/>
    <n v="1999"/>
    <n v="10"/>
    <n v="599.70000000000005"/>
    <n v="5397.3"/>
    <x v="558"/>
    <s v="Cash on Delivery"/>
    <s v="Cancelled"/>
  </r>
  <r>
    <s v="ORD0561"/>
    <d v="2023-03-26T00:00:00"/>
    <s v="CUST1442"/>
    <s v="Meera Joshi"/>
    <x v="5"/>
    <x v="6"/>
    <s v="Badminton Set"/>
    <n v="4"/>
    <n v="1500"/>
    <n v="5"/>
    <n v="300"/>
    <n v="5700"/>
    <x v="559"/>
    <s v="Debit Card"/>
    <s v="Returned"/>
  </r>
  <r>
    <s v="ORD0562"/>
    <d v="2023-02-14T00:00:00"/>
    <s v="CUST1154"/>
    <s v="Kiran Tiwari"/>
    <x v="6"/>
    <x v="2"/>
    <s v="Study Table"/>
    <n v="3"/>
    <n v="6500"/>
    <n v="15"/>
    <n v="2925"/>
    <n v="16575"/>
    <x v="560"/>
    <s v="Credit Card"/>
    <s v="Delivered"/>
  </r>
  <r>
    <s v="ORD0563"/>
    <d v="2023-07-11T00:00:00"/>
    <s v="CUST1012"/>
    <s v="Kavita Tiwari"/>
    <x v="7"/>
    <x v="3"/>
    <s v="Python Basics"/>
    <n v="2"/>
    <n v="499"/>
    <n v="0"/>
    <n v="0"/>
    <n v="998"/>
    <x v="561"/>
    <s v="Credit Card"/>
    <s v="Delivered"/>
  </r>
  <r>
    <s v="ORD0564"/>
    <d v="2023-09-05T00:00:00"/>
    <s v="CUST1073"/>
    <s v="Diya Tiwari"/>
    <x v="7"/>
    <x v="4"/>
    <s v="Face Wash"/>
    <n v="5"/>
    <n v="250"/>
    <n v="10"/>
    <n v="125"/>
    <n v="1125"/>
    <x v="562"/>
    <s v="Credit Card"/>
    <s v="Delivered"/>
  </r>
  <r>
    <s v="ORD0565"/>
    <d v="2023-08-24T00:00:00"/>
    <s v="CUST1477"/>
    <s v="Vivaan Khanna"/>
    <x v="0"/>
    <x v="2"/>
    <s v="Bed Frame"/>
    <n v="5"/>
    <n v="15000"/>
    <n v="0"/>
    <n v="0"/>
    <n v="75000"/>
    <x v="563"/>
    <s v="Debit Card"/>
    <s v="Returned"/>
  </r>
  <r>
    <s v="ORD0566"/>
    <d v="2023-01-24T00:00:00"/>
    <s v="CUST1159"/>
    <s v="Kiran Joshi"/>
    <x v="2"/>
    <x v="0"/>
    <s v="Tablet"/>
    <n v="3"/>
    <n v="22000"/>
    <n v="0"/>
    <n v="0"/>
    <n v="66000"/>
    <x v="564"/>
    <s v="Credit Card"/>
    <s v="Delivered"/>
  </r>
  <r>
    <s v="ORD0567"/>
    <d v="2023-05-22T00:00:00"/>
    <s v="CUST1076"/>
    <s v="Priya Kumar"/>
    <x v="0"/>
    <x v="6"/>
    <s v="Yoga Mat"/>
    <n v="4"/>
    <n v="700"/>
    <n v="25"/>
    <n v="700"/>
    <n v="2100"/>
    <x v="565"/>
    <s v="UPI"/>
    <s v="Cancelled"/>
  </r>
  <r>
    <s v="ORD0568"/>
    <d v="2023-10-14T00:00:00"/>
    <s v="CUST1163"/>
    <s v="Rahul Reddy"/>
    <x v="6"/>
    <x v="6"/>
    <s v="Cricket Bat"/>
    <n v="2"/>
    <n v="2500"/>
    <n v="20"/>
    <n v="1000"/>
    <n v="4000"/>
    <x v="566"/>
    <s v="Net Banking"/>
    <s v="Delivered"/>
  </r>
  <r>
    <s v="ORD0569"/>
    <d v="2023-03-29T00:00:00"/>
    <s v="CUST1025"/>
    <s v="Rohan Sharma"/>
    <x v="4"/>
    <x v="0"/>
    <s v="Earbuds"/>
    <n v="5"/>
    <n v="3500"/>
    <n v="10"/>
    <n v="1750"/>
    <n v="15750"/>
    <x v="567"/>
    <s v="UPI"/>
    <s v="Delivered"/>
  </r>
  <r>
    <s v="ORD0570"/>
    <d v="2023-07-16T00:00:00"/>
    <s v="CUST1305"/>
    <s v="Manish Das"/>
    <x v="3"/>
    <x v="0"/>
    <s v="Smartphone"/>
    <n v="4"/>
    <n v="18000"/>
    <n v="15"/>
    <n v="10800"/>
    <n v="61200"/>
    <x v="568"/>
    <s v="Debit Card"/>
    <s v="Delivered"/>
  </r>
  <r>
    <s v="ORD0571"/>
    <d v="2023-04-12T00:00:00"/>
    <s v="CUST1386"/>
    <s v="Arun Agarwal"/>
    <x v="7"/>
    <x v="4"/>
    <s v="Face Wash"/>
    <n v="5"/>
    <n v="250"/>
    <n v="0"/>
    <n v="0"/>
    <n v="1250"/>
    <x v="569"/>
    <s v="UPI"/>
    <s v="Returned"/>
  </r>
  <r>
    <s v="ORD0572"/>
    <d v="2023-02-19T00:00:00"/>
    <s v="CUST1114"/>
    <s v="Rohan Khanna"/>
    <x v="6"/>
    <x v="2"/>
    <s v="Bookshelf"/>
    <n v="4"/>
    <n v="4200"/>
    <n v="15"/>
    <n v="2520"/>
    <n v="14280"/>
    <x v="570"/>
    <s v="Debit Card"/>
    <s v="Returned"/>
  </r>
  <r>
    <s v="ORD0573"/>
    <d v="2023-04-04T00:00:00"/>
    <s v="CUST1015"/>
    <s v="Ananya Bhat"/>
    <x v="0"/>
    <x v="4"/>
    <s v="Perfume"/>
    <n v="3"/>
    <n v="1800"/>
    <n v="10"/>
    <n v="540"/>
    <n v="4860"/>
    <x v="571"/>
    <s v="Debit Card"/>
    <s v="Returned"/>
  </r>
  <r>
    <s v="ORD0574"/>
    <d v="2023-08-25T00:00:00"/>
    <s v="CUST1065"/>
    <s v="Suresh Gupta"/>
    <x v="1"/>
    <x v="3"/>
    <s v="Excel Mastery"/>
    <n v="3"/>
    <n v="399"/>
    <n v="10"/>
    <n v="119.7"/>
    <n v="1077.3"/>
    <x v="572"/>
    <s v="UPI"/>
    <s v="Delivered"/>
  </r>
  <r>
    <s v="ORD0575"/>
    <d v="2023-10-12T00:00:00"/>
    <s v="CUST1302"/>
    <s v="Nisha Singh"/>
    <x v="2"/>
    <x v="4"/>
    <s v="Moisturizer"/>
    <n v="3"/>
    <n v="450"/>
    <n v="20"/>
    <n v="270"/>
    <n v="1080"/>
    <x v="573"/>
    <s v="Net Banking"/>
    <s v="Delivered"/>
  </r>
  <r>
    <s v="ORD0576"/>
    <d v="2023-09-04T00:00:00"/>
    <s v="CUST1302"/>
    <s v="Nisha Pillai"/>
    <x v="3"/>
    <x v="2"/>
    <s v="Office Chair"/>
    <n v="3"/>
    <n v="8500"/>
    <n v="5"/>
    <n v="1275"/>
    <n v="24225"/>
    <x v="574"/>
    <s v="Net Banking"/>
    <s v="Delivered"/>
  </r>
  <r>
    <s v="ORD0577"/>
    <d v="2023-03-30T00:00:00"/>
    <s v="CUST1293"/>
    <s v="Kavita Gupta"/>
    <x v="4"/>
    <x v="4"/>
    <s v="Perfume"/>
    <n v="1"/>
    <n v="1800"/>
    <n v="25"/>
    <n v="450"/>
    <n v="1350"/>
    <x v="575"/>
    <s v="Debit Card"/>
    <s v="Cancelled"/>
  </r>
  <r>
    <s v="ORD0578"/>
    <d v="2023-02-19T00:00:00"/>
    <s v="CUST1035"/>
    <s v="Anjali Gupta"/>
    <x v="1"/>
    <x v="3"/>
    <s v="SQL Guide"/>
    <n v="2"/>
    <n v="449"/>
    <n v="10"/>
    <n v="89.8"/>
    <n v="808.2"/>
    <x v="576"/>
    <s v="Debit Card"/>
    <s v="Returned"/>
  </r>
  <r>
    <s v="ORD0579"/>
    <d v="2023-11-27T00:00:00"/>
    <s v="CUST1454"/>
    <s v="Manish Sharma"/>
    <x v="7"/>
    <x v="4"/>
    <s v="Moisturizer"/>
    <n v="1"/>
    <n v="450"/>
    <n v="5"/>
    <n v="22.5"/>
    <n v="427.5"/>
    <x v="577"/>
    <s v="Credit Card"/>
    <s v="Returned"/>
  </r>
  <r>
    <s v="ORD0580"/>
    <d v="2023-09-30T00:00:00"/>
    <s v="CUST1105"/>
    <s v="Arjun Rao"/>
    <x v="6"/>
    <x v="1"/>
    <s v="Atta (10kg)"/>
    <n v="5"/>
    <n v="450"/>
    <n v="20"/>
    <n v="450"/>
    <n v="1800"/>
    <x v="578"/>
    <s v="Cash on Delivery"/>
    <s v="Delivered"/>
  </r>
  <r>
    <s v="ORD0581"/>
    <d v="2023-02-15T00:00:00"/>
    <s v="CUST1065"/>
    <s v="Meera Verma"/>
    <x v="3"/>
    <x v="6"/>
    <s v="Cricket Bat"/>
    <n v="5"/>
    <n v="2500"/>
    <n v="20"/>
    <n v="2500"/>
    <n v="10000"/>
    <x v="579"/>
    <s v="Net Banking"/>
    <s v="Delivered"/>
  </r>
  <r>
    <s v="ORD0582"/>
    <d v="2023-01-01T00:00:00"/>
    <s v="CUST1443"/>
    <s v="Aarav Singh"/>
    <x v="1"/>
    <x v="4"/>
    <s v="Foundation"/>
    <n v="3"/>
    <n v="850"/>
    <n v="0"/>
    <n v="0"/>
    <n v="2550"/>
    <x v="580"/>
    <s v="Net Banking"/>
    <s v="Returned"/>
  </r>
  <r>
    <s v="ORD0583"/>
    <d v="2023-11-17T00:00:00"/>
    <s v="CUST1279"/>
    <s v="Kiran Nair"/>
    <x v="4"/>
    <x v="1"/>
    <s v="Tea Powder"/>
    <n v="4"/>
    <n v="250"/>
    <n v="15"/>
    <n v="150"/>
    <n v="850"/>
    <x v="581"/>
    <s v="Credit Card"/>
    <s v="Delivered"/>
  </r>
  <r>
    <s v="ORD0584"/>
    <d v="2023-10-12T00:00:00"/>
    <s v="CUST1446"/>
    <s v="Rohan Reddy"/>
    <x v="5"/>
    <x v="2"/>
    <s v="Side Table"/>
    <n v="3"/>
    <n v="3200"/>
    <n v="15"/>
    <n v="1440"/>
    <n v="8160"/>
    <x v="582"/>
    <s v="UPI"/>
    <s v="Delivered"/>
  </r>
  <r>
    <s v="ORD0585"/>
    <d v="2023-03-15T00:00:00"/>
    <s v="CUST1328"/>
    <s v="Nisha Das"/>
    <x v="1"/>
    <x v="4"/>
    <s v="Lipstick"/>
    <n v="4"/>
    <n v="650"/>
    <n v="5"/>
    <n v="130"/>
    <n v="2470"/>
    <x v="583"/>
    <s v="Net Banking"/>
    <s v="Delivered"/>
  </r>
  <r>
    <s v="ORD0586"/>
    <d v="2023-08-21T00:00:00"/>
    <s v="CUST1115"/>
    <s v="Priya Pillai"/>
    <x v="5"/>
    <x v="6"/>
    <s v="Dumbbells"/>
    <n v="5"/>
    <n v="2200"/>
    <n v="15"/>
    <n v="1650"/>
    <n v="9350"/>
    <x v="584"/>
    <s v="Net Banking"/>
    <s v="Returned"/>
  </r>
  <r>
    <s v="ORD0587"/>
    <d v="2023-05-02T00:00:00"/>
    <s v="CUST1295"/>
    <s v="Pooja Verma"/>
    <x v="5"/>
    <x v="4"/>
    <s v="Foundation"/>
    <n v="3"/>
    <n v="850"/>
    <n v="15"/>
    <n v="382.5"/>
    <n v="2167.5"/>
    <x v="585"/>
    <s v="Net Banking"/>
    <s v="Returned"/>
  </r>
  <r>
    <s v="ORD0588"/>
    <d v="2023-12-27T00:00:00"/>
    <s v="CUST1040"/>
    <s v="Rohan Tiwari"/>
    <x v="6"/>
    <x v="1"/>
    <s v="Rice (5kg)"/>
    <n v="5"/>
    <n v="350"/>
    <n v="15"/>
    <n v="262.5"/>
    <n v="1487.5"/>
    <x v="586"/>
    <s v="Cash on Delivery"/>
    <s v="Cancelled"/>
  </r>
  <r>
    <s v="ORD0589"/>
    <d v="2023-02-10T00:00:00"/>
    <s v="CUST1379"/>
    <s v="Ananya Mishra"/>
    <x v="6"/>
    <x v="6"/>
    <s v="Badminton Set"/>
    <n v="1"/>
    <n v="1500"/>
    <n v="5"/>
    <n v="75"/>
    <n v="1425"/>
    <x v="587"/>
    <s v="Net Banking"/>
    <s v="Delivered"/>
  </r>
  <r>
    <s v="ORD0590"/>
    <d v="2023-06-25T00:00:00"/>
    <s v="CUST1463"/>
    <s v="Kavita Agarwal"/>
    <x v="3"/>
    <x v="6"/>
    <s v="Running Shoes"/>
    <n v="1"/>
    <n v="3500"/>
    <n v="15"/>
    <n v="525"/>
    <n v="2975"/>
    <x v="588"/>
    <s v="Cash on Delivery"/>
    <s v="Delivered"/>
  </r>
  <r>
    <s v="ORD0591"/>
    <d v="2023-05-31T00:00:00"/>
    <s v="CUST1383"/>
    <s v="Meera Agarwal"/>
    <x v="6"/>
    <x v="1"/>
    <s v="Dal (1kg)"/>
    <n v="1"/>
    <n v="120"/>
    <n v="25"/>
    <n v="30"/>
    <n v="90"/>
    <x v="589"/>
    <s v="UPI"/>
    <s v="Returned"/>
  </r>
  <r>
    <s v="ORD0592"/>
    <d v="2023-10-24T00:00:00"/>
    <s v="CUST1414"/>
    <s v="Anjali Sharma"/>
    <x v="6"/>
    <x v="5"/>
    <s v="Jacket"/>
    <n v="1"/>
    <n v="1999"/>
    <n v="25"/>
    <n v="499.75"/>
    <n v="1499.25"/>
    <x v="590"/>
    <s v="Cash on Delivery"/>
    <s v="Delivered"/>
  </r>
  <r>
    <s v="ORD0593"/>
    <d v="2023-03-06T00:00:00"/>
    <s v="CUST1143"/>
    <s v="Rahul Kumar"/>
    <x v="5"/>
    <x v="6"/>
    <s v="Cricket Bat"/>
    <n v="3"/>
    <n v="2500"/>
    <n v="10"/>
    <n v="750"/>
    <n v="6750"/>
    <x v="591"/>
    <s v="UPI"/>
    <s v="Cancelled"/>
  </r>
  <r>
    <s v="ORD0594"/>
    <d v="2023-03-31T00:00:00"/>
    <s v="CUST1413"/>
    <s v="Priya Kumar"/>
    <x v="2"/>
    <x v="6"/>
    <s v="Cycle"/>
    <n v="2"/>
    <n v="12000"/>
    <n v="25"/>
    <n v="6000"/>
    <n v="18000"/>
    <x v="592"/>
    <s v="Cash on Delivery"/>
    <s v="Delivered"/>
  </r>
  <r>
    <s v="ORD0595"/>
    <d v="2023-09-28T00:00:00"/>
    <s v="CUST1304"/>
    <s v="Rohan Bhat"/>
    <x v="1"/>
    <x v="3"/>
    <s v="Python Basics"/>
    <n v="3"/>
    <n v="499"/>
    <n v="0"/>
    <n v="0"/>
    <n v="1497"/>
    <x v="593"/>
    <s v="Cash on Delivery"/>
    <s v="Delivered"/>
  </r>
  <r>
    <s v="ORD0596"/>
    <d v="2023-12-05T00:00:00"/>
    <s v="CUST1431"/>
    <s v="Pooja Verma"/>
    <x v="6"/>
    <x v="2"/>
    <s v="Bed Frame"/>
    <n v="2"/>
    <n v="15000"/>
    <n v="5"/>
    <n v="1500"/>
    <n v="28500"/>
    <x v="594"/>
    <s v="UPI"/>
    <s v="Delivered"/>
  </r>
  <r>
    <s v="ORD0597"/>
    <d v="2023-03-27T00:00:00"/>
    <s v="CUST1485"/>
    <s v="Deepa Singh"/>
    <x v="1"/>
    <x v="2"/>
    <s v="Wardrobe"/>
    <n v="4"/>
    <n v="18000"/>
    <n v="10"/>
    <n v="7200"/>
    <n v="64800"/>
    <x v="595"/>
    <s v="Cash on Delivery"/>
    <s v="Returned"/>
  </r>
  <r>
    <s v="ORD0598"/>
    <d v="2023-05-15T00:00:00"/>
    <s v="CUST1408"/>
    <s v="Arun Mehta"/>
    <x v="3"/>
    <x v="5"/>
    <s v="Jacket"/>
    <n v="4"/>
    <n v="1999"/>
    <n v="0"/>
    <n v="0"/>
    <n v="7996"/>
    <x v="596"/>
    <s v="Net Banking"/>
    <s v="Delivered"/>
  </r>
  <r>
    <s v="ORD0599"/>
    <d v="2023-02-19T00:00:00"/>
    <s v="CUST1333"/>
    <s v="Rahul Joshi"/>
    <x v="6"/>
    <x v="6"/>
    <s v="Cycle"/>
    <n v="3"/>
    <n v="12000"/>
    <n v="15"/>
    <n v="5400"/>
    <n v="30600"/>
    <x v="597"/>
    <s v="Debit Card"/>
    <s v="Delivered"/>
  </r>
  <r>
    <s v="ORD0600"/>
    <d v="2023-05-11T00:00:00"/>
    <s v="CUST1383"/>
    <s v="Sneha Agarwal"/>
    <x v="2"/>
    <x v="4"/>
    <s v="Foundation"/>
    <n v="4"/>
    <n v="850"/>
    <n v="15"/>
    <n v="510"/>
    <n v="2890"/>
    <x v="598"/>
    <s v="Net Banking"/>
    <s v="Delivered"/>
  </r>
  <r>
    <s v="ORD0601"/>
    <d v="2023-12-13T00:00:00"/>
    <s v="CUST1004"/>
    <s v="Ananya Sharma"/>
    <x v="1"/>
    <x v="4"/>
    <s v="Shampoo"/>
    <n v="3"/>
    <n v="300"/>
    <n v="20"/>
    <n v="180"/>
    <n v="720"/>
    <x v="599"/>
    <s v="UPI"/>
    <s v="Cancelled"/>
  </r>
  <r>
    <s v="ORD0602"/>
    <d v="2023-02-23T00:00:00"/>
    <s v="CUST1128"/>
    <s v="Kiran Verma"/>
    <x v="5"/>
    <x v="4"/>
    <s v="Lipstick"/>
    <n v="3"/>
    <n v="650"/>
    <n v="5"/>
    <n v="97.5"/>
    <n v="1852.5"/>
    <x v="600"/>
    <s v="Net Banking"/>
    <s v="Delivered"/>
  </r>
  <r>
    <s v="ORD0603"/>
    <d v="2023-01-30T00:00:00"/>
    <s v="CUST1362"/>
    <s v="Diya Patel"/>
    <x v="7"/>
    <x v="6"/>
    <s v="Cycle"/>
    <n v="2"/>
    <n v="12000"/>
    <n v="20"/>
    <n v="4800"/>
    <n v="19200"/>
    <x v="601"/>
    <s v="Cash on Delivery"/>
    <s v="Cancelled"/>
  </r>
  <r>
    <s v="ORD0604"/>
    <d v="2023-04-05T00:00:00"/>
    <s v="CUST1338"/>
    <s v="Ananya Das"/>
    <x v="6"/>
    <x v="0"/>
    <s v="Charger"/>
    <n v="2"/>
    <n v="800"/>
    <n v="10"/>
    <n v="160"/>
    <n v="1440"/>
    <x v="602"/>
    <s v="Cash on Delivery"/>
    <s v="Delivered"/>
  </r>
  <r>
    <s v="ORD0605"/>
    <d v="2023-05-12T00:00:00"/>
    <s v="CUST1195"/>
    <s v="Vijay Joshi"/>
    <x v="5"/>
    <x v="5"/>
    <s v="Sneakers"/>
    <n v="1"/>
    <n v="3499"/>
    <n v="10"/>
    <n v="349.9"/>
    <n v="3149.1"/>
    <x v="603"/>
    <s v="Debit Card"/>
    <s v="Delivered"/>
  </r>
  <r>
    <s v="ORD0606"/>
    <d v="2023-04-02T00:00:00"/>
    <s v="CUST1091"/>
    <s v="Kavita Gupta"/>
    <x v="7"/>
    <x v="2"/>
    <s v="Office Chair"/>
    <n v="4"/>
    <n v="8500"/>
    <n v="5"/>
    <n v="1700"/>
    <n v="32300"/>
    <x v="604"/>
    <s v="Net Banking"/>
    <s v="Returned"/>
  </r>
  <r>
    <s v="ORD0607"/>
    <d v="2023-04-22T00:00:00"/>
    <s v="CUST1052"/>
    <s v="Vivaan Patel"/>
    <x v="0"/>
    <x v="6"/>
    <s v="Cycle"/>
    <n v="1"/>
    <n v="12000"/>
    <n v="15"/>
    <n v="1800"/>
    <n v="10200"/>
    <x v="605"/>
    <s v="Net Banking"/>
    <s v="Delivered"/>
  </r>
  <r>
    <s v="ORD0608"/>
    <d v="2023-08-17T00:00:00"/>
    <s v="CUST1477"/>
    <s v="Vivaan Mehta"/>
    <x v="6"/>
    <x v="0"/>
    <s v="Smartwatch"/>
    <n v="2"/>
    <n v="8000"/>
    <n v="25"/>
    <n v="4000"/>
    <n v="12000"/>
    <x v="606"/>
    <s v="Credit Card"/>
    <s v="Delivered"/>
  </r>
  <r>
    <s v="ORD0609"/>
    <d v="2023-07-20T00:00:00"/>
    <s v="CUST1251"/>
    <s v="Kavita Pillai"/>
    <x v="1"/>
    <x v="6"/>
    <s v="Cricket Bat"/>
    <n v="5"/>
    <n v="2500"/>
    <n v="25"/>
    <n v="3125"/>
    <n v="9375"/>
    <x v="607"/>
    <s v="UPI"/>
    <s v="Cancelled"/>
  </r>
  <r>
    <s v="ORD0610"/>
    <d v="2023-04-26T00:00:00"/>
    <s v="CUST1478"/>
    <s v="Pooja Joshi"/>
    <x v="6"/>
    <x v="0"/>
    <s v="Smartwatch"/>
    <n v="4"/>
    <n v="8000"/>
    <n v="0"/>
    <n v="0"/>
    <n v="32000"/>
    <x v="608"/>
    <s v="Cash on Delivery"/>
    <s v="Delivered"/>
  </r>
  <r>
    <s v="ORD0611"/>
    <d v="2023-11-20T00:00:00"/>
    <s v="CUST1174"/>
    <s v="Ananya Das"/>
    <x v="6"/>
    <x v="4"/>
    <s v="Moisturizer"/>
    <n v="3"/>
    <n v="450"/>
    <n v="20"/>
    <n v="270"/>
    <n v="1080"/>
    <x v="609"/>
    <s v="Credit Card"/>
    <s v="Delivered"/>
  </r>
  <r>
    <s v="ORD0612"/>
    <d v="2023-10-11T00:00:00"/>
    <s v="CUST1458"/>
    <s v="Diya Shah"/>
    <x v="4"/>
    <x v="0"/>
    <s v="Smartwatch"/>
    <n v="2"/>
    <n v="8000"/>
    <n v="10"/>
    <n v="1600"/>
    <n v="14400"/>
    <x v="610"/>
    <s v="UPI"/>
    <s v="Returned"/>
  </r>
  <r>
    <s v="ORD0613"/>
    <d v="2023-04-08T00:00:00"/>
    <s v="CUST1303"/>
    <s v="Sneha Bhat"/>
    <x v="1"/>
    <x v="5"/>
    <s v="T-Shirt"/>
    <n v="2"/>
    <n v="499"/>
    <n v="0"/>
    <n v="0"/>
    <n v="998"/>
    <x v="611"/>
    <s v="UPI"/>
    <s v="Cancelled"/>
  </r>
  <r>
    <s v="ORD0614"/>
    <d v="2023-11-26T00:00:00"/>
    <s v="CUST1008"/>
    <s v="Vivaan Joshi"/>
    <x v="5"/>
    <x v="1"/>
    <s v="Atta (10kg)"/>
    <n v="5"/>
    <n v="450"/>
    <n v="15"/>
    <n v="337.5"/>
    <n v="1912.5"/>
    <x v="612"/>
    <s v="Debit Card"/>
    <s v="Delivered"/>
  </r>
  <r>
    <s v="ORD0615"/>
    <d v="2023-07-27T00:00:00"/>
    <s v="CUST1445"/>
    <s v="Deepa Reddy"/>
    <x v="2"/>
    <x v="0"/>
    <s v="Laptop"/>
    <n v="5"/>
    <n v="55000"/>
    <n v="15"/>
    <n v="41250"/>
    <n v="233750"/>
    <x v="613"/>
    <s v="UPI"/>
    <s v="Delivered"/>
  </r>
  <r>
    <s v="ORD0616"/>
    <d v="2023-03-14T00:00:00"/>
    <s v="CUST1316"/>
    <s v="Vivaan Singh"/>
    <x v="7"/>
    <x v="2"/>
    <s v="Bed Frame"/>
    <n v="1"/>
    <n v="15000"/>
    <n v="15"/>
    <n v="2250"/>
    <n v="12750"/>
    <x v="614"/>
    <s v="UPI"/>
    <s v="Delivered"/>
  </r>
  <r>
    <s v="ORD0617"/>
    <d v="2023-11-20T00:00:00"/>
    <s v="CUST1427"/>
    <s v="Manish Patel"/>
    <x v="0"/>
    <x v="0"/>
    <s v="Earbuds"/>
    <n v="1"/>
    <n v="3500"/>
    <n v="15"/>
    <n v="525"/>
    <n v="2975"/>
    <x v="615"/>
    <s v="UPI"/>
    <s v="Returned"/>
  </r>
  <r>
    <s v="ORD0618"/>
    <d v="2023-11-01T00:00:00"/>
    <s v="CUST1218"/>
    <s v="Arjun Mehta"/>
    <x v="3"/>
    <x v="3"/>
    <s v="Business Analytics"/>
    <n v="2"/>
    <n v="699"/>
    <n v="0"/>
    <n v="0"/>
    <n v="1398"/>
    <x v="616"/>
    <s v="UPI"/>
    <s v="Cancelled"/>
  </r>
  <r>
    <s v="ORD0619"/>
    <d v="2023-10-07T00:00:00"/>
    <s v="CUST1171"/>
    <s v="Ananya Gupta"/>
    <x v="6"/>
    <x v="5"/>
    <s v="Kurta"/>
    <n v="2"/>
    <n v="799"/>
    <n v="0"/>
    <n v="0"/>
    <n v="1598"/>
    <x v="617"/>
    <s v="Credit Card"/>
    <s v="Returned"/>
  </r>
  <r>
    <s v="ORD0620"/>
    <d v="2023-03-28T00:00:00"/>
    <s v="CUST1473"/>
    <s v="Manish Verma"/>
    <x v="7"/>
    <x v="4"/>
    <s v="Sunscreen"/>
    <n v="5"/>
    <n v="350"/>
    <n v="5"/>
    <n v="87.5"/>
    <n v="1662.5"/>
    <x v="618"/>
    <s v="UPI"/>
    <s v="Cancelled"/>
  </r>
  <r>
    <s v="ORD0621"/>
    <d v="2023-07-12T00:00:00"/>
    <s v="CUST1003"/>
    <s v="Priya Patel"/>
    <x v="6"/>
    <x v="3"/>
    <s v="Excel Mastery"/>
    <n v="1"/>
    <n v="399"/>
    <n v="15"/>
    <n v="59.85"/>
    <n v="339.15"/>
    <x v="619"/>
    <s v="Cash on Delivery"/>
    <s v="Returned"/>
  </r>
  <r>
    <s v="ORD0622"/>
    <d v="2023-12-21T00:00:00"/>
    <s v="CUST1230"/>
    <s v="Nisha Singh"/>
    <x v="7"/>
    <x v="5"/>
    <s v="Jeans"/>
    <n v="2"/>
    <n v="1299"/>
    <n v="25"/>
    <n v="649.5"/>
    <n v="1948.5"/>
    <x v="620"/>
    <s v="Net Banking"/>
    <s v="Delivered"/>
  </r>
  <r>
    <s v="ORD0623"/>
    <d v="2023-11-02T00:00:00"/>
    <s v="CUST1321"/>
    <s v="Meera Shah"/>
    <x v="1"/>
    <x v="5"/>
    <s v="Shoes"/>
    <n v="4"/>
    <n v="2499"/>
    <n v="20"/>
    <n v="1999.2"/>
    <n v="7996.8"/>
    <x v="621"/>
    <s v="UPI"/>
    <s v="Cancelled"/>
  </r>
  <r>
    <s v="ORD0624"/>
    <d v="2023-05-01T00:00:00"/>
    <s v="CUST1441"/>
    <s v="Deepa Tiwari"/>
    <x v="2"/>
    <x v="5"/>
    <s v="T-Shirt"/>
    <n v="5"/>
    <n v="499"/>
    <n v="0"/>
    <n v="0"/>
    <n v="2495"/>
    <x v="622"/>
    <s v="Cash on Delivery"/>
    <s v="Delivered"/>
  </r>
  <r>
    <s v="ORD0625"/>
    <d v="2023-05-22T00:00:00"/>
    <s v="CUST1495"/>
    <s v="Kavita Bhat"/>
    <x v="7"/>
    <x v="0"/>
    <s v="Laptop"/>
    <n v="1"/>
    <n v="55000"/>
    <n v="5"/>
    <n v="2750"/>
    <n v="52250"/>
    <x v="623"/>
    <s v="Credit Card"/>
    <s v="Delivered"/>
  </r>
  <r>
    <s v="ORD0626"/>
    <d v="2023-01-28T00:00:00"/>
    <s v="CUST1171"/>
    <s v="Anjali Das"/>
    <x v="5"/>
    <x v="4"/>
    <s v="Sunscreen"/>
    <n v="3"/>
    <n v="350"/>
    <n v="5"/>
    <n v="52.5"/>
    <n v="997.5"/>
    <x v="624"/>
    <s v="UPI"/>
    <s v="Delivered"/>
  </r>
  <r>
    <s v="ORD0627"/>
    <d v="2023-10-03T00:00:00"/>
    <s v="CUST1036"/>
    <s v="Sneha Das"/>
    <x v="3"/>
    <x v="5"/>
    <s v="Jeans"/>
    <n v="1"/>
    <n v="1299"/>
    <n v="15"/>
    <n v="194.85"/>
    <n v="1104.1500000000001"/>
    <x v="625"/>
    <s v="Cash on Delivery"/>
    <s v="Delivered"/>
  </r>
  <r>
    <s v="ORD0628"/>
    <d v="2023-12-13T00:00:00"/>
    <s v="CUST1121"/>
    <s v="Nisha Iyer"/>
    <x v="1"/>
    <x v="1"/>
    <s v="Dal (1kg)"/>
    <n v="1"/>
    <n v="120"/>
    <n v="10"/>
    <n v="12"/>
    <n v="108"/>
    <x v="626"/>
    <s v="Credit Card"/>
    <s v="Delivered"/>
  </r>
  <r>
    <s v="ORD0629"/>
    <d v="2023-08-30T00:00:00"/>
    <s v="CUST1475"/>
    <s v="Anjali Das"/>
    <x v="7"/>
    <x v="6"/>
    <s v="Dumbbells"/>
    <n v="1"/>
    <n v="2200"/>
    <n v="15"/>
    <n v="330"/>
    <n v="1870"/>
    <x v="627"/>
    <s v="Cash on Delivery"/>
    <s v="Delivered"/>
  </r>
  <r>
    <s v="ORD0630"/>
    <d v="2023-03-11T00:00:00"/>
    <s v="CUST1138"/>
    <s v="Kiran Joshi"/>
    <x v="7"/>
    <x v="2"/>
    <s v="Bed Frame"/>
    <n v="2"/>
    <n v="15000"/>
    <n v="25"/>
    <n v="7500"/>
    <n v="22500"/>
    <x v="628"/>
    <s v="UPI"/>
    <s v="Cancelled"/>
  </r>
  <r>
    <s v="ORD0631"/>
    <d v="2023-01-31T00:00:00"/>
    <s v="CUST1087"/>
    <s v="Arjun Singh"/>
    <x v="6"/>
    <x v="1"/>
    <s v="Dal (1kg)"/>
    <n v="1"/>
    <n v="120"/>
    <n v="15"/>
    <n v="18"/>
    <n v="102"/>
    <x v="629"/>
    <s v="Net Banking"/>
    <s v="Delivered"/>
  </r>
  <r>
    <s v="ORD0632"/>
    <d v="2023-11-23T00:00:00"/>
    <s v="CUST1044"/>
    <s v="Nisha Tiwari"/>
    <x v="4"/>
    <x v="6"/>
    <s v="Football"/>
    <n v="5"/>
    <n v="800"/>
    <n v="20"/>
    <n v="800"/>
    <n v="3200"/>
    <x v="630"/>
    <s v="Credit Card"/>
    <s v="Cancelled"/>
  </r>
  <r>
    <s v="ORD0633"/>
    <d v="2023-08-31T00:00:00"/>
    <s v="CUST1376"/>
    <s v="Sneha Singh"/>
    <x v="3"/>
    <x v="3"/>
    <s v="SQL Guide"/>
    <n v="3"/>
    <n v="449"/>
    <n v="0"/>
    <n v="0"/>
    <n v="1347"/>
    <x v="631"/>
    <s v="Cash on Delivery"/>
    <s v="Cancelled"/>
  </r>
  <r>
    <s v="ORD0634"/>
    <d v="2023-04-24T00:00:00"/>
    <s v="CUST1022"/>
    <s v="Vivaan Bhat"/>
    <x v="5"/>
    <x v="6"/>
    <s v="Football"/>
    <n v="5"/>
    <n v="800"/>
    <n v="0"/>
    <n v="0"/>
    <n v="4000"/>
    <x v="632"/>
    <s v="Cash on Delivery"/>
    <s v="Cancelled"/>
  </r>
  <r>
    <s v="ORD0635"/>
    <d v="2023-07-21T00:00:00"/>
    <s v="CUST1042"/>
    <s v="Deepa Sharma"/>
    <x v="1"/>
    <x v="2"/>
    <s v="Side Table"/>
    <n v="1"/>
    <n v="3200"/>
    <n v="15"/>
    <n v="480"/>
    <n v="2720"/>
    <x v="633"/>
    <s v="Credit Card"/>
    <s v="Delivered"/>
  </r>
  <r>
    <s v="ORD0636"/>
    <d v="2023-07-03T00:00:00"/>
    <s v="CUST1156"/>
    <s v="Priya Das"/>
    <x v="5"/>
    <x v="1"/>
    <s v="Dal (1kg)"/>
    <n v="1"/>
    <n v="120"/>
    <n v="0"/>
    <n v="0"/>
    <n v="120"/>
    <x v="634"/>
    <s v="Cash on Delivery"/>
    <s v="Returned"/>
  </r>
  <r>
    <s v="ORD0637"/>
    <d v="2023-03-12T00:00:00"/>
    <s v="CUST1189"/>
    <s v="Arun Sharma"/>
    <x v="0"/>
    <x v="3"/>
    <s v="Finance Book"/>
    <n v="4"/>
    <n v="549"/>
    <n v="5"/>
    <n v="109.8"/>
    <n v="2086.1999999999998"/>
    <x v="635"/>
    <s v="Cash on Delivery"/>
    <s v="Delivered"/>
  </r>
  <r>
    <s v="ORD0638"/>
    <d v="2023-09-29T00:00:00"/>
    <s v="CUST1313"/>
    <s v="Deepa Agarwal"/>
    <x v="2"/>
    <x v="0"/>
    <s v="Earbuds"/>
    <n v="4"/>
    <n v="3500"/>
    <n v="10"/>
    <n v="1400"/>
    <n v="12600"/>
    <x v="636"/>
    <s v="UPI"/>
    <s v="Cancelled"/>
  </r>
  <r>
    <s v="ORD0639"/>
    <d v="2023-06-21T00:00:00"/>
    <s v="CUST1026"/>
    <s v="Diya Mehta"/>
    <x v="3"/>
    <x v="4"/>
    <s v="Moisturizer"/>
    <n v="5"/>
    <n v="450"/>
    <n v="25"/>
    <n v="562.5"/>
    <n v="1687.5"/>
    <x v="637"/>
    <s v="Cash on Delivery"/>
    <s v="Cancelled"/>
  </r>
  <r>
    <s v="ORD0640"/>
    <d v="2023-01-21T00:00:00"/>
    <s v="CUST1034"/>
    <s v="Deepa Iyer"/>
    <x v="7"/>
    <x v="1"/>
    <s v="Oil (1L)"/>
    <n v="2"/>
    <n v="180"/>
    <n v="25"/>
    <n v="90"/>
    <n v="270"/>
    <x v="638"/>
    <s v="Debit Card"/>
    <s v="Delivered"/>
  </r>
  <r>
    <s v="ORD0641"/>
    <d v="2023-10-04T00:00:00"/>
    <s v="CUST1297"/>
    <s v="Kiran Singh"/>
    <x v="3"/>
    <x v="0"/>
    <s v="Charger"/>
    <n v="4"/>
    <n v="800"/>
    <n v="25"/>
    <n v="800"/>
    <n v="2400"/>
    <x v="639"/>
    <s v="Debit Card"/>
    <s v="Delivered"/>
  </r>
  <r>
    <s v="ORD0642"/>
    <d v="2023-09-15T00:00:00"/>
    <s v="CUST1176"/>
    <s v="Arun Bhat"/>
    <x v="0"/>
    <x v="4"/>
    <s v="Lipstick"/>
    <n v="3"/>
    <n v="650"/>
    <n v="0"/>
    <n v="0"/>
    <n v="1950"/>
    <x v="640"/>
    <s v="Cash on Delivery"/>
    <s v="Cancelled"/>
  </r>
  <r>
    <s v="ORD0643"/>
    <d v="2023-12-14T00:00:00"/>
    <s v="CUST1409"/>
    <s v="Ananya Iyer"/>
    <x v="4"/>
    <x v="3"/>
    <s v="Business Analytics"/>
    <n v="3"/>
    <n v="699"/>
    <n v="15"/>
    <n v="314.55"/>
    <n v="1782.45"/>
    <x v="641"/>
    <s v="UPI"/>
    <s v="Delivered"/>
  </r>
  <r>
    <s v="ORD0644"/>
    <d v="2023-07-20T00:00:00"/>
    <s v="CUST1057"/>
    <s v="Rohan Bhat"/>
    <x v="7"/>
    <x v="5"/>
    <s v="Kurta"/>
    <n v="1"/>
    <n v="799"/>
    <n v="0"/>
    <n v="0"/>
    <n v="799"/>
    <x v="642"/>
    <s v="Credit Card"/>
    <s v="Cancelled"/>
  </r>
  <r>
    <s v="ORD0645"/>
    <d v="2023-11-18T00:00:00"/>
    <s v="CUST1067"/>
    <s v="Kavita Shah"/>
    <x v="1"/>
    <x v="0"/>
    <s v="Earbuds"/>
    <n v="4"/>
    <n v="3500"/>
    <n v="25"/>
    <n v="3500"/>
    <n v="10500"/>
    <x v="643"/>
    <s v="Cash on Delivery"/>
    <s v="Delivered"/>
  </r>
  <r>
    <s v="ORD0646"/>
    <d v="2023-05-30T00:00:00"/>
    <s v="CUST1266"/>
    <s v="Arjun Pillai"/>
    <x v="3"/>
    <x v="5"/>
    <s v="T-Shirt"/>
    <n v="1"/>
    <n v="499"/>
    <n v="5"/>
    <n v="24.95"/>
    <n v="474.05"/>
    <x v="644"/>
    <s v="Debit Card"/>
    <s v="Returned"/>
  </r>
  <r>
    <s v="ORD0647"/>
    <d v="2023-10-31T00:00:00"/>
    <s v="CUST1155"/>
    <s v="Manish Reddy"/>
    <x v="6"/>
    <x v="4"/>
    <s v="Perfume"/>
    <n v="5"/>
    <n v="1800"/>
    <n v="20"/>
    <n v="1800"/>
    <n v="7200"/>
    <x v="645"/>
    <s v="Credit Card"/>
    <s v="Delivered"/>
  </r>
  <r>
    <s v="ORD0648"/>
    <d v="2023-04-27T00:00:00"/>
    <s v="CUST1145"/>
    <s v="Arun Nair"/>
    <x v="7"/>
    <x v="2"/>
    <s v="Bookshelf"/>
    <n v="3"/>
    <n v="4200"/>
    <n v="0"/>
    <n v="0"/>
    <n v="12600"/>
    <x v="646"/>
    <s v="Net Banking"/>
    <s v="Delivered"/>
  </r>
  <r>
    <s v="ORD0649"/>
    <d v="2023-04-04T00:00:00"/>
    <s v="CUST1021"/>
    <s v="Arjun Agarwal"/>
    <x v="7"/>
    <x v="5"/>
    <s v="Sneakers"/>
    <n v="2"/>
    <n v="3499"/>
    <n v="5"/>
    <n v="349.9"/>
    <n v="6648.1"/>
    <x v="647"/>
    <s v="Cash on Delivery"/>
    <s v="Delivered"/>
  </r>
  <r>
    <s v="ORD0650"/>
    <d v="2023-07-09T00:00:00"/>
    <s v="CUST1162"/>
    <s v="Pooja Reddy"/>
    <x v="3"/>
    <x v="5"/>
    <s v="Jeans"/>
    <n v="5"/>
    <n v="1299"/>
    <n v="25"/>
    <n v="1623.75"/>
    <n v="4871.25"/>
    <x v="648"/>
    <s v="Cash on Delivery"/>
    <s v="Cancelled"/>
  </r>
  <r>
    <s v="ORD0651"/>
    <d v="2023-03-25T00:00:00"/>
    <s v="CUST1255"/>
    <s v="Rohan Das"/>
    <x v="3"/>
    <x v="6"/>
    <s v="Yoga Mat"/>
    <n v="1"/>
    <n v="700"/>
    <n v="0"/>
    <n v="0"/>
    <n v="700"/>
    <x v="649"/>
    <s v="Credit Card"/>
    <s v="Delivered"/>
  </r>
  <r>
    <s v="ORD0652"/>
    <d v="2023-10-07T00:00:00"/>
    <s v="CUST1496"/>
    <s v="Manish Reddy"/>
    <x v="4"/>
    <x v="6"/>
    <s v="Yoga Mat"/>
    <n v="3"/>
    <n v="700"/>
    <n v="15"/>
    <n v="315"/>
    <n v="1785"/>
    <x v="650"/>
    <s v="Debit Card"/>
    <s v="Delivered"/>
  </r>
  <r>
    <s v="ORD0653"/>
    <d v="2023-09-03T00:00:00"/>
    <s v="CUST1205"/>
    <s v="Anjali Singh"/>
    <x v="4"/>
    <x v="0"/>
    <s v="Laptop"/>
    <n v="5"/>
    <n v="55000"/>
    <n v="0"/>
    <n v="0"/>
    <n v="275000"/>
    <x v="651"/>
    <s v="Debit Card"/>
    <s v="Delivered"/>
  </r>
  <r>
    <s v="ORD0654"/>
    <d v="2023-06-17T00:00:00"/>
    <s v="CUST1400"/>
    <s v="Rahul Iyer"/>
    <x v="5"/>
    <x v="0"/>
    <s v="Tablet"/>
    <n v="2"/>
    <n v="22000"/>
    <n v="20"/>
    <n v="8800"/>
    <n v="35200"/>
    <x v="652"/>
    <s v="UPI"/>
    <s v="Cancelled"/>
  </r>
  <r>
    <s v="ORD0655"/>
    <d v="2023-08-17T00:00:00"/>
    <s v="CUST1251"/>
    <s v="Arjun Khanna"/>
    <x v="5"/>
    <x v="4"/>
    <s v="Perfume"/>
    <n v="1"/>
    <n v="1800"/>
    <n v="20"/>
    <n v="360"/>
    <n v="1440"/>
    <x v="653"/>
    <s v="Debit Card"/>
    <s v="Returned"/>
  </r>
  <r>
    <s v="ORD0656"/>
    <d v="2023-03-17T00:00:00"/>
    <s v="CUST1006"/>
    <s v="Meera Shah"/>
    <x v="3"/>
    <x v="4"/>
    <s v="Face Wash"/>
    <n v="4"/>
    <n v="250"/>
    <n v="10"/>
    <n v="100"/>
    <n v="900"/>
    <x v="654"/>
    <s v="Debit Card"/>
    <s v="Returned"/>
  </r>
  <r>
    <s v="ORD0657"/>
    <d v="2023-10-15T00:00:00"/>
    <s v="CUST1411"/>
    <s v="Arun Rao"/>
    <x v="7"/>
    <x v="0"/>
    <s v="Laptop"/>
    <n v="4"/>
    <n v="55000"/>
    <n v="25"/>
    <n v="55000"/>
    <n v="165000"/>
    <x v="655"/>
    <s v="Cash on Delivery"/>
    <s v="Returned"/>
  </r>
  <r>
    <s v="ORD0658"/>
    <d v="2023-03-13T00:00:00"/>
    <s v="CUST1155"/>
    <s v="Kavita Tiwari"/>
    <x v="3"/>
    <x v="3"/>
    <s v="Business Analytics"/>
    <n v="5"/>
    <n v="699"/>
    <n v="0"/>
    <n v="0"/>
    <n v="3495"/>
    <x v="656"/>
    <s v="UPI"/>
    <s v="Cancelled"/>
  </r>
  <r>
    <s v="ORD0659"/>
    <d v="2023-07-12T00:00:00"/>
    <s v="CUST1212"/>
    <s v="Priya Mishra"/>
    <x v="4"/>
    <x v="0"/>
    <s v="Smartphone"/>
    <n v="4"/>
    <n v="18000"/>
    <n v="25"/>
    <n v="18000"/>
    <n v="54000"/>
    <x v="657"/>
    <s v="Net Banking"/>
    <s v="Delivered"/>
  </r>
  <r>
    <s v="ORD0660"/>
    <d v="2023-04-13T00:00:00"/>
    <s v="CUST1021"/>
    <s v="Meera Agarwal"/>
    <x v="6"/>
    <x v="5"/>
    <s v="Sneakers"/>
    <n v="4"/>
    <n v="3499"/>
    <n v="10"/>
    <n v="1399.6"/>
    <n v="12596.4"/>
    <x v="658"/>
    <s v="Cash on Delivery"/>
    <s v="Cancelled"/>
  </r>
  <r>
    <s v="ORD0661"/>
    <d v="2023-08-26T00:00:00"/>
    <s v="CUST1489"/>
    <s v="Kavita Gupta"/>
    <x v="6"/>
    <x v="5"/>
    <s v="T-Shirt"/>
    <n v="1"/>
    <n v="499"/>
    <n v="5"/>
    <n v="24.95"/>
    <n v="474.05"/>
    <x v="659"/>
    <s v="Cash on Delivery"/>
    <s v="Delivered"/>
  </r>
  <r>
    <s v="ORD0662"/>
    <d v="2023-09-09T00:00:00"/>
    <s v="CUST1141"/>
    <s v="Kavita Patel"/>
    <x v="3"/>
    <x v="4"/>
    <s v="Perfume"/>
    <n v="2"/>
    <n v="1800"/>
    <n v="0"/>
    <n v="0"/>
    <n v="3600"/>
    <x v="660"/>
    <s v="Net Banking"/>
    <s v="Returned"/>
  </r>
  <r>
    <s v="ORD0663"/>
    <d v="2023-10-17T00:00:00"/>
    <s v="CUST1498"/>
    <s v="Diya Shah"/>
    <x v="5"/>
    <x v="2"/>
    <s v="Side Table"/>
    <n v="3"/>
    <n v="3200"/>
    <n v="25"/>
    <n v="2400"/>
    <n v="7200"/>
    <x v="661"/>
    <s v="Debit Card"/>
    <s v="Delivered"/>
  </r>
  <r>
    <s v="ORD0664"/>
    <d v="2023-10-25T00:00:00"/>
    <s v="CUST1069"/>
    <s v="Pooja Nair"/>
    <x v="5"/>
    <x v="0"/>
    <s v="Laptop"/>
    <n v="3"/>
    <n v="55000"/>
    <n v="15"/>
    <n v="24750"/>
    <n v="140250"/>
    <x v="662"/>
    <s v="Debit Card"/>
    <s v="Delivered"/>
  </r>
  <r>
    <s v="ORD0665"/>
    <d v="2023-08-03T00:00:00"/>
    <s v="CUST1327"/>
    <s v="Ananya Tiwari"/>
    <x v="2"/>
    <x v="4"/>
    <s v="Sunscreen"/>
    <n v="1"/>
    <n v="350"/>
    <n v="10"/>
    <n v="35"/>
    <n v="315"/>
    <x v="663"/>
    <s v="Credit Card"/>
    <s v="Delivered"/>
  </r>
  <r>
    <s v="ORD0666"/>
    <d v="2023-11-03T00:00:00"/>
    <s v="CUST1423"/>
    <s v="Meera Kumar"/>
    <x v="3"/>
    <x v="3"/>
    <s v="Excel Mastery"/>
    <n v="5"/>
    <n v="399"/>
    <n v="10"/>
    <n v="199.5"/>
    <n v="1795.5"/>
    <x v="664"/>
    <s v="UPI"/>
    <s v="Cancelled"/>
  </r>
  <r>
    <s v="ORD0667"/>
    <d v="2023-10-24T00:00:00"/>
    <s v="CUST1144"/>
    <s v="Pooja Bhat"/>
    <x v="1"/>
    <x v="1"/>
    <s v="Coffee"/>
    <n v="2"/>
    <n v="400"/>
    <n v="0"/>
    <n v="0"/>
    <n v="800"/>
    <x v="665"/>
    <s v="Debit Card"/>
    <s v="Delivered"/>
  </r>
  <r>
    <s v="ORD0668"/>
    <d v="2023-02-22T00:00:00"/>
    <s v="CUST1407"/>
    <s v="Deepa Khanna"/>
    <x v="0"/>
    <x v="5"/>
    <s v="Jeans"/>
    <n v="5"/>
    <n v="1299"/>
    <n v="5"/>
    <n v="324.75"/>
    <n v="6170.25"/>
    <x v="666"/>
    <s v="Cash on Delivery"/>
    <s v="Returned"/>
  </r>
  <r>
    <s v="ORD0669"/>
    <d v="2023-02-09T00:00:00"/>
    <s v="CUST1159"/>
    <s v="Pooja Reddy"/>
    <x v="4"/>
    <x v="0"/>
    <s v="Speaker"/>
    <n v="2"/>
    <n v="4500"/>
    <n v="0"/>
    <n v="0"/>
    <n v="9000"/>
    <x v="667"/>
    <s v="Net Banking"/>
    <s v="Cancelled"/>
  </r>
  <r>
    <s v="ORD0670"/>
    <d v="2023-06-25T00:00:00"/>
    <s v="CUST1060"/>
    <s v="Sneha Reddy"/>
    <x v="7"/>
    <x v="5"/>
    <s v="Shoes"/>
    <n v="3"/>
    <n v="2499"/>
    <n v="0"/>
    <n v="0"/>
    <n v="7497"/>
    <x v="668"/>
    <s v="Credit Card"/>
    <s v="Delivered"/>
  </r>
  <r>
    <s v="ORD0671"/>
    <d v="2023-03-06T00:00:00"/>
    <s v="CUST1401"/>
    <s v="Diya Patel"/>
    <x v="5"/>
    <x v="5"/>
    <s v="Jeans"/>
    <n v="1"/>
    <n v="1299"/>
    <n v="15"/>
    <n v="194.85"/>
    <n v="1104.1500000000001"/>
    <x v="669"/>
    <s v="Cash on Delivery"/>
    <s v="Returned"/>
  </r>
  <r>
    <s v="ORD0672"/>
    <d v="2023-01-22T00:00:00"/>
    <s v="CUST1030"/>
    <s v="Kavita Gupta"/>
    <x v="6"/>
    <x v="5"/>
    <s v="T-Shirt"/>
    <n v="1"/>
    <n v="499"/>
    <n v="25"/>
    <n v="124.75"/>
    <n v="374.25"/>
    <x v="670"/>
    <s v="UPI"/>
    <s v="Delivered"/>
  </r>
  <r>
    <s v="ORD0673"/>
    <d v="2023-06-04T00:00:00"/>
    <s v="CUST1105"/>
    <s v="Manish Iyer"/>
    <x v="7"/>
    <x v="4"/>
    <s v="Moisturizer"/>
    <n v="1"/>
    <n v="450"/>
    <n v="0"/>
    <n v="0"/>
    <n v="450"/>
    <x v="671"/>
    <s v="Debit Card"/>
    <s v="Delivered"/>
  </r>
  <r>
    <s v="ORD0674"/>
    <d v="2023-02-16T00:00:00"/>
    <s v="CUST1082"/>
    <s v="Suresh Khanna"/>
    <x v="2"/>
    <x v="5"/>
    <s v="Sneakers"/>
    <n v="3"/>
    <n v="3499"/>
    <n v="20"/>
    <n v="2099.4"/>
    <n v="8397.6"/>
    <x v="672"/>
    <s v="Net Banking"/>
    <s v="Cancelled"/>
  </r>
  <r>
    <s v="ORD0675"/>
    <d v="2023-02-04T00:00:00"/>
    <s v="CUST1366"/>
    <s v="Kiran Rao"/>
    <x v="7"/>
    <x v="0"/>
    <s v="Speaker"/>
    <n v="5"/>
    <n v="4500"/>
    <n v="0"/>
    <n v="0"/>
    <n v="22500"/>
    <x v="673"/>
    <s v="Net Banking"/>
    <s v="Delivered"/>
  </r>
  <r>
    <s v="ORD0676"/>
    <d v="2023-02-20T00:00:00"/>
    <s v="CUST1094"/>
    <s v="Arun Gupta"/>
    <x v="7"/>
    <x v="5"/>
    <s v="Jacket"/>
    <n v="4"/>
    <n v="1999"/>
    <n v="10"/>
    <n v="799.6"/>
    <n v="7196.4"/>
    <x v="674"/>
    <s v="Debit Card"/>
    <s v="Returned"/>
  </r>
  <r>
    <s v="ORD0677"/>
    <d v="2023-08-06T00:00:00"/>
    <s v="CUST1160"/>
    <s v="Diya Das"/>
    <x v="0"/>
    <x v="5"/>
    <s v="Jacket"/>
    <n v="2"/>
    <n v="1999"/>
    <n v="15"/>
    <n v="599.70000000000005"/>
    <n v="3398.3"/>
    <x v="675"/>
    <s v="Net Banking"/>
    <s v="Delivered"/>
  </r>
  <r>
    <s v="ORD0678"/>
    <d v="2023-09-11T00:00:00"/>
    <s v="CUST1042"/>
    <s v="Arjun Bhat"/>
    <x v="0"/>
    <x v="3"/>
    <s v="Data Science 101"/>
    <n v="3"/>
    <n v="599"/>
    <n v="20"/>
    <n v="359.4"/>
    <n v="1437.6"/>
    <x v="676"/>
    <s v="Cash on Delivery"/>
    <s v="Delivered"/>
  </r>
  <r>
    <s v="ORD0679"/>
    <d v="2023-08-22T00:00:00"/>
    <s v="CUST1227"/>
    <s v="Sneha Mishra"/>
    <x v="1"/>
    <x v="6"/>
    <s v="Cycle"/>
    <n v="3"/>
    <n v="12000"/>
    <n v="25"/>
    <n v="9000"/>
    <n v="27000"/>
    <x v="677"/>
    <s v="Debit Card"/>
    <s v="Returned"/>
  </r>
  <r>
    <s v="ORD0680"/>
    <d v="2023-04-07T00:00:00"/>
    <s v="CUST1006"/>
    <s v="Kavita Gupta"/>
    <x v="1"/>
    <x v="3"/>
    <s v="Python Basics"/>
    <n v="4"/>
    <n v="499"/>
    <n v="25"/>
    <n v="499"/>
    <n v="1497"/>
    <x v="678"/>
    <s v="Cash on Delivery"/>
    <s v="Cancelled"/>
  </r>
  <r>
    <s v="ORD0681"/>
    <d v="2023-12-04T00:00:00"/>
    <s v="CUST1355"/>
    <s v="Manish Gupta"/>
    <x v="7"/>
    <x v="4"/>
    <s v="Moisturizer"/>
    <n v="1"/>
    <n v="450"/>
    <n v="5"/>
    <n v="22.5"/>
    <n v="427.5"/>
    <x v="679"/>
    <s v="UPI"/>
    <s v="Delivered"/>
  </r>
  <r>
    <s v="ORD0682"/>
    <d v="2023-04-12T00:00:00"/>
    <s v="CUST1429"/>
    <s v="Nisha Bhat"/>
    <x v="6"/>
    <x v="1"/>
    <s v="Dal (1kg)"/>
    <n v="5"/>
    <n v="120"/>
    <n v="15"/>
    <n v="90"/>
    <n v="510"/>
    <x v="680"/>
    <s v="Net Banking"/>
    <s v="Cancelled"/>
  </r>
  <r>
    <s v="ORD0683"/>
    <d v="2023-05-20T00:00:00"/>
    <s v="CUST1308"/>
    <s v="Vijay Bhat"/>
    <x v="6"/>
    <x v="3"/>
    <s v="Novel"/>
    <n v="4"/>
    <n v="299"/>
    <n v="10"/>
    <n v="119.6"/>
    <n v="1076.4000000000001"/>
    <x v="681"/>
    <s v="Credit Card"/>
    <s v="Returned"/>
  </r>
  <r>
    <s v="ORD0684"/>
    <d v="2023-02-25T00:00:00"/>
    <s v="CUST1482"/>
    <s v="Rohan Sharma"/>
    <x v="0"/>
    <x v="0"/>
    <s v="Earbuds"/>
    <n v="4"/>
    <n v="3500"/>
    <n v="15"/>
    <n v="2100"/>
    <n v="11900"/>
    <x v="682"/>
    <s v="UPI"/>
    <s v="Delivered"/>
  </r>
  <r>
    <s v="ORD0685"/>
    <d v="2023-09-13T00:00:00"/>
    <s v="CUST1167"/>
    <s v="Rohan Rao"/>
    <x v="0"/>
    <x v="4"/>
    <s v="Moisturizer"/>
    <n v="2"/>
    <n v="450"/>
    <n v="15"/>
    <n v="135"/>
    <n v="765"/>
    <x v="683"/>
    <s v="UPI"/>
    <s v="Cancelled"/>
  </r>
  <r>
    <s v="ORD0686"/>
    <d v="2023-09-10T00:00:00"/>
    <s v="CUST1251"/>
    <s v="Suresh Kumar"/>
    <x v="3"/>
    <x v="3"/>
    <s v="SQL Guide"/>
    <n v="2"/>
    <n v="449"/>
    <n v="10"/>
    <n v="89.8"/>
    <n v="808.2"/>
    <x v="684"/>
    <s v="Net Banking"/>
    <s v="Cancelled"/>
  </r>
  <r>
    <s v="ORD0687"/>
    <d v="2023-01-10T00:00:00"/>
    <s v="CUST1161"/>
    <s v="Vijay Das"/>
    <x v="4"/>
    <x v="3"/>
    <s v="Python Basics"/>
    <n v="4"/>
    <n v="499"/>
    <n v="0"/>
    <n v="0"/>
    <n v="1996"/>
    <x v="685"/>
    <s v="UPI"/>
    <s v="Delivered"/>
  </r>
  <r>
    <s v="ORD0688"/>
    <d v="2023-04-01T00:00:00"/>
    <s v="CUST1220"/>
    <s v="Rohan Rao"/>
    <x v="1"/>
    <x v="6"/>
    <s v="Cycle"/>
    <n v="3"/>
    <n v="12000"/>
    <n v="25"/>
    <n v="9000"/>
    <n v="27000"/>
    <x v="686"/>
    <s v="Cash on Delivery"/>
    <s v="Delivered"/>
  </r>
  <r>
    <s v="ORD0689"/>
    <d v="2023-10-19T00:00:00"/>
    <s v="CUST1240"/>
    <s v="Kavita Mishra"/>
    <x v="7"/>
    <x v="4"/>
    <s v="Lipstick"/>
    <n v="5"/>
    <n v="650"/>
    <n v="25"/>
    <n v="812.5"/>
    <n v="2437.5"/>
    <x v="687"/>
    <s v="Net Banking"/>
    <s v="Delivered"/>
  </r>
  <r>
    <s v="ORD0690"/>
    <d v="2023-07-20T00:00:00"/>
    <s v="CUST1180"/>
    <s v="Meera Joshi"/>
    <x v="5"/>
    <x v="1"/>
    <s v="Atta (10kg)"/>
    <n v="5"/>
    <n v="450"/>
    <n v="15"/>
    <n v="337.5"/>
    <n v="1912.5"/>
    <x v="688"/>
    <s v="UPI"/>
    <s v="Cancelled"/>
  </r>
  <r>
    <s v="ORD0691"/>
    <d v="2023-01-24T00:00:00"/>
    <s v="CUST1298"/>
    <s v="Aarav Joshi"/>
    <x v="1"/>
    <x v="5"/>
    <s v="Sneakers"/>
    <n v="3"/>
    <n v="3499"/>
    <n v="10"/>
    <n v="1049.7"/>
    <n v="9447.2999999999993"/>
    <x v="689"/>
    <s v="UPI"/>
    <s v="Returned"/>
  </r>
  <r>
    <s v="ORD0692"/>
    <d v="2023-06-26T00:00:00"/>
    <s v="CUST1126"/>
    <s v="Sneha Rao"/>
    <x v="0"/>
    <x v="1"/>
    <s v="Atta (10kg)"/>
    <n v="3"/>
    <n v="450"/>
    <n v="0"/>
    <n v="0"/>
    <n v="1350"/>
    <x v="690"/>
    <s v="UPI"/>
    <s v="Delivered"/>
  </r>
  <r>
    <s v="ORD0693"/>
    <d v="2023-02-28T00:00:00"/>
    <s v="CUST1235"/>
    <s v="Nisha Agarwal"/>
    <x v="1"/>
    <x v="1"/>
    <s v="Dal (1kg)"/>
    <n v="1"/>
    <n v="120"/>
    <n v="20"/>
    <n v="24"/>
    <n v="96"/>
    <x v="691"/>
    <s v="Debit Card"/>
    <s v="Delivered"/>
  </r>
  <r>
    <s v="ORD0694"/>
    <d v="2023-12-23T00:00:00"/>
    <s v="CUST1199"/>
    <s v="Arjun Agarwal"/>
    <x v="0"/>
    <x v="2"/>
    <s v="Sofa"/>
    <n v="1"/>
    <n v="25000"/>
    <n v="10"/>
    <n v="2500"/>
    <n v="22500"/>
    <x v="692"/>
    <s v="Cash on Delivery"/>
    <s v="Delivered"/>
  </r>
  <r>
    <s v="ORD0695"/>
    <d v="2023-12-20T00:00:00"/>
    <s v="CUST1391"/>
    <s v="Arjun Nair"/>
    <x v="6"/>
    <x v="4"/>
    <s v="Shampoo"/>
    <n v="3"/>
    <n v="300"/>
    <n v="15"/>
    <n v="135"/>
    <n v="765"/>
    <x v="693"/>
    <s v="Debit Card"/>
    <s v="Returned"/>
  </r>
  <r>
    <s v="ORD0696"/>
    <d v="2023-04-14T00:00:00"/>
    <s v="CUST1135"/>
    <s v="Vivaan Rao"/>
    <x v="1"/>
    <x v="2"/>
    <s v="Bed Frame"/>
    <n v="1"/>
    <n v="15000"/>
    <n v="20"/>
    <n v="3000"/>
    <n v="12000"/>
    <x v="694"/>
    <s v="Credit Card"/>
    <s v="Cancelled"/>
  </r>
  <r>
    <s v="ORD0697"/>
    <d v="2023-02-17T00:00:00"/>
    <s v="CUST1139"/>
    <s v="Ananya Agarwal"/>
    <x v="4"/>
    <x v="4"/>
    <s v="Face Wash"/>
    <n v="5"/>
    <n v="250"/>
    <n v="0"/>
    <n v="0"/>
    <n v="1250"/>
    <x v="695"/>
    <s v="Cash on Delivery"/>
    <s v="Delivered"/>
  </r>
  <r>
    <s v="ORD0698"/>
    <d v="2023-06-27T00:00:00"/>
    <s v="CUST1221"/>
    <s v="Deepa Joshi"/>
    <x v="2"/>
    <x v="3"/>
    <s v="Python Basics"/>
    <n v="3"/>
    <n v="499"/>
    <n v="20"/>
    <n v="299.39999999999998"/>
    <n v="1197.5999999999999"/>
    <x v="696"/>
    <s v="Cash on Delivery"/>
    <s v="Returned"/>
  </r>
  <r>
    <s v="ORD0699"/>
    <d v="2023-05-09T00:00:00"/>
    <s v="CUST1092"/>
    <s v="Aarav Tiwari"/>
    <x v="7"/>
    <x v="6"/>
    <s v="Badminton Set"/>
    <n v="4"/>
    <n v="1500"/>
    <n v="25"/>
    <n v="1500"/>
    <n v="4500"/>
    <x v="697"/>
    <s v="Net Banking"/>
    <s v="Returned"/>
  </r>
  <r>
    <s v="ORD0700"/>
    <d v="2023-04-20T00:00:00"/>
    <s v="CUST1272"/>
    <s v="Anjali Pillai"/>
    <x v="5"/>
    <x v="4"/>
    <s v="Face Wash"/>
    <n v="4"/>
    <n v="250"/>
    <n v="10"/>
    <n v="100"/>
    <n v="900"/>
    <x v="698"/>
    <s v="Net Banking"/>
    <s v="Delivered"/>
  </r>
  <r>
    <s v="ORD0701"/>
    <d v="2023-07-06T00:00:00"/>
    <s v="CUST1391"/>
    <s v="Meera Pillai"/>
    <x v="1"/>
    <x v="2"/>
    <s v="Study Table"/>
    <n v="2"/>
    <n v="6500"/>
    <n v="5"/>
    <n v="650"/>
    <n v="12350"/>
    <x v="699"/>
    <s v="Debit Card"/>
    <s v="Delivered"/>
  </r>
  <r>
    <s v="ORD0702"/>
    <d v="2023-11-21T00:00:00"/>
    <s v="CUST1330"/>
    <s v="Priya Kumar"/>
    <x v="2"/>
    <x v="5"/>
    <s v="Sneakers"/>
    <n v="4"/>
    <n v="3499"/>
    <n v="10"/>
    <n v="1399.6"/>
    <n v="12596.4"/>
    <x v="700"/>
    <s v="Cash on Delivery"/>
    <s v="Delivered"/>
  </r>
  <r>
    <s v="ORD0703"/>
    <d v="2023-02-28T00:00:00"/>
    <s v="CUST1158"/>
    <s v="Arun Bhat"/>
    <x v="1"/>
    <x v="5"/>
    <s v="Jeans"/>
    <n v="1"/>
    <n v="1299"/>
    <n v="5"/>
    <n v="64.95"/>
    <n v="1234.05"/>
    <x v="701"/>
    <s v="Cash on Delivery"/>
    <s v="Delivered"/>
  </r>
  <r>
    <s v="ORD0704"/>
    <d v="2023-04-14T00:00:00"/>
    <s v="CUST1411"/>
    <s v="Rahul Mishra"/>
    <x v="7"/>
    <x v="5"/>
    <s v="Kurta"/>
    <n v="2"/>
    <n v="799"/>
    <n v="0"/>
    <n v="0"/>
    <n v="1598"/>
    <x v="702"/>
    <s v="UPI"/>
    <s v="Returned"/>
  </r>
  <r>
    <s v="ORD0705"/>
    <d v="2023-01-11T00:00:00"/>
    <s v="CUST1443"/>
    <s v="Ananya Pillai"/>
    <x v="3"/>
    <x v="0"/>
    <s v="Speaker"/>
    <n v="1"/>
    <n v="4500"/>
    <n v="10"/>
    <n v="450"/>
    <n v="4050"/>
    <x v="703"/>
    <s v="UPI"/>
    <s v="Returned"/>
  </r>
  <r>
    <s v="ORD0706"/>
    <d v="2023-03-13T00:00:00"/>
    <s v="CUST1061"/>
    <s v="Suresh Agarwal"/>
    <x v="6"/>
    <x v="5"/>
    <s v="T-Shirt"/>
    <n v="5"/>
    <n v="499"/>
    <n v="25"/>
    <n v="623.75"/>
    <n v="1871.25"/>
    <x v="704"/>
    <s v="Cash on Delivery"/>
    <s v="Delivered"/>
  </r>
  <r>
    <s v="ORD0707"/>
    <d v="2023-05-02T00:00:00"/>
    <s v="CUST1377"/>
    <s v="Vijay Singh"/>
    <x v="1"/>
    <x v="6"/>
    <s v="Cricket Bat"/>
    <n v="3"/>
    <n v="2500"/>
    <n v="10"/>
    <n v="750"/>
    <n v="6750"/>
    <x v="705"/>
    <s v="Credit Card"/>
    <s v="Delivered"/>
  </r>
  <r>
    <s v="ORD0708"/>
    <d v="2023-02-24T00:00:00"/>
    <s v="CUST1441"/>
    <s v="Manish Verma"/>
    <x v="4"/>
    <x v="5"/>
    <s v="Jeans"/>
    <n v="3"/>
    <n v="1299"/>
    <n v="15"/>
    <n v="584.54999999999995"/>
    <n v="3312.45"/>
    <x v="706"/>
    <s v="Net Banking"/>
    <s v="Delivered"/>
  </r>
  <r>
    <s v="ORD0709"/>
    <d v="2023-12-25T00:00:00"/>
    <s v="CUST1126"/>
    <s v="Rahul Reddy"/>
    <x v="3"/>
    <x v="0"/>
    <s v="Earbuds"/>
    <n v="5"/>
    <n v="3500"/>
    <n v="15"/>
    <n v="2625"/>
    <n v="14875"/>
    <x v="707"/>
    <s v="Cash on Delivery"/>
    <s v="Delivered"/>
  </r>
  <r>
    <s v="ORD0710"/>
    <d v="2023-06-07T00:00:00"/>
    <s v="CUST1339"/>
    <s v="Vivaan Singh"/>
    <x v="6"/>
    <x v="0"/>
    <s v="Charger"/>
    <n v="5"/>
    <n v="800"/>
    <n v="0"/>
    <n v="0"/>
    <n v="4000"/>
    <x v="708"/>
    <s v="Net Banking"/>
    <s v="Returned"/>
  </r>
  <r>
    <s v="ORD0711"/>
    <d v="2023-06-08T00:00:00"/>
    <s v="CUST1443"/>
    <s v="Sneha Das"/>
    <x v="1"/>
    <x v="4"/>
    <s v="Perfume"/>
    <n v="3"/>
    <n v="1800"/>
    <n v="25"/>
    <n v="1350"/>
    <n v="4050"/>
    <x v="709"/>
    <s v="UPI"/>
    <s v="Returned"/>
  </r>
  <r>
    <s v="ORD0712"/>
    <d v="2023-05-11T00:00:00"/>
    <s v="CUST1455"/>
    <s v="Priya Das"/>
    <x v="3"/>
    <x v="1"/>
    <s v="Rice (5kg)"/>
    <n v="2"/>
    <n v="350"/>
    <n v="10"/>
    <n v="70"/>
    <n v="630"/>
    <x v="710"/>
    <s v="Cash on Delivery"/>
    <s v="Delivered"/>
  </r>
  <r>
    <s v="ORD0713"/>
    <d v="2023-05-21T00:00:00"/>
    <s v="CUST1474"/>
    <s v="Arjun Pillai"/>
    <x v="0"/>
    <x v="3"/>
    <s v="Python Basics"/>
    <n v="4"/>
    <n v="499"/>
    <n v="15"/>
    <n v="299.39999999999998"/>
    <n v="1696.6"/>
    <x v="711"/>
    <s v="Credit Card"/>
    <s v="Delivered"/>
  </r>
  <r>
    <s v="ORD0714"/>
    <d v="2023-09-17T00:00:00"/>
    <s v="CUST1280"/>
    <s v="Arjun Das"/>
    <x v="5"/>
    <x v="0"/>
    <s v="Earbuds"/>
    <n v="4"/>
    <n v="3500"/>
    <n v="20"/>
    <n v="2800"/>
    <n v="11200"/>
    <x v="712"/>
    <s v="UPI"/>
    <s v="Delivered"/>
  </r>
  <r>
    <s v="ORD0715"/>
    <d v="2023-11-19T00:00:00"/>
    <s v="CUST1321"/>
    <s v="Meera Joshi"/>
    <x v="0"/>
    <x v="2"/>
    <s v="Side Table"/>
    <n v="2"/>
    <n v="3200"/>
    <n v="0"/>
    <n v="0"/>
    <n v="6400"/>
    <x v="713"/>
    <s v="UPI"/>
    <s v="Delivered"/>
  </r>
  <r>
    <s v="ORD0716"/>
    <d v="2023-05-08T00:00:00"/>
    <s v="CUST1405"/>
    <s v="Arjun Das"/>
    <x v="4"/>
    <x v="6"/>
    <s v="Cycle"/>
    <n v="2"/>
    <n v="12000"/>
    <n v="20"/>
    <n v="4800"/>
    <n v="19200"/>
    <x v="714"/>
    <s v="Credit Card"/>
    <s v="Delivered"/>
  </r>
  <r>
    <s v="ORD0717"/>
    <d v="2023-03-30T00:00:00"/>
    <s v="CUST1212"/>
    <s v="Pooja Nair"/>
    <x v="1"/>
    <x v="4"/>
    <s v="Foundation"/>
    <n v="3"/>
    <n v="850"/>
    <n v="10"/>
    <n v="255"/>
    <n v="2295"/>
    <x v="715"/>
    <s v="Cash on Delivery"/>
    <s v="Cancelled"/>
  </r>
  <r>
    <s v="ORD0718"/>
    <d v="2023-04-25T00:00:00"/>
    <s v="CUST1117"/>
    <s v="Ananya Das"/>
    <x v="2"/>
    <x v="0"/>
    <s v="Smartphone"/>
    <n v="5"/>
    <n v="18000"/>
    <n v="25"/>
    <n v="22500"/>
    <n v="67500"/>
    <x v="716"/>
    <s v="Debit Card"/>
    <s v="Delivered"/>
  </r>
  <r>
    <s v="ORD0719"/>
    <d v="2023-01-26T00:00:00"/>
    <s v="CUST1045"/>
    <s v="Pooja Nair"/>
    <x v="0"/>
    <x v="2"/>
    <s v="Sofa"/>
    <n v="4"/>
    <n v="25000"/>
    <n v="20"/>
    <n v="20000"/>
    <n v="80000"/>
    <x v="717"/>
    <s v="UPI"/>
    <s v="Cancelled"/>
  </r>
  <r>
    <s v="ORD0720"/>
    <d v="2023-08-11T00:00:00"/>
    <s v="CUST1104"/>
    <s v="Kiran Kumar"/>
    <x v="6"/>
    <x v="3"/>
    <s v="SQL Guide"/>
    <n v="4"/>
    <n v="449"/>
    <n v="0"/>
    <n v="0"/>
    <n v="1796"/>
    <x v="718"/>
    <s v="Cash on Delivery"/>
    <s v="Returned"/>
  </r>
  <r>
    <s v="ORD0721"/>
    <d v="2023-03-08T00:00:00"/>
    <s v="CUST1421"/>
    <s v="Meera Iyer"/>
    <x v="1"/>
    <x v="2"/>
    <s v="Side Table"/>
    <n v="2"/>
    <n v="3200"/>
    <n v="20"/>
    <n v="1280"/>
    <n v="5120"/>
    <x v="719"/>
    <s v="Credit Card"/>
    <s v="Returned"/>
  </r>
  <r>
    <s v="ORD0722"/>
    <d v="2023-03-16T00:00:00"/>
    <s v="CUST1464"/>
    <s v="Sneha Shah"/>
    <x v="4"/>
    <x v="0"/>
    <s v="Earbuds"/>
    <n v="3"/>
    <n v="3500"/>
    <n v="5"/>
    <n v="525"/>
    <n v="9975"/>
    <x v="720"/>
    <s v="UPI"/>
    <s v="Delivered"/>
  </r>
  <r>
    <s v="ORD0723"/>
    <d v="2023-08-29T00:00:00"/>
    <s v="CUST1108"/>
    <s v="Vijay Pillai"/>
    <x v="6"/>
    <x v="5"/>
    <s v="Sneakers"/>
    <n v="3"/>
    <n v="3499"/>
    <n v="25"/>
    <n v="2624.25"/>
    <n v="7872.75"/>
    <x v="721"/>
    <s v="UPI"/>
    <s v="Delivered"/>
  </r>
  <r>
    <s v="ORD0724"/>
    <d v="2023-10-13T00:00:00"/>
    <s v="CUST1181"/>
    <s v="Anjali Khanna"/>
    <x v="5"/>
    <x v="0"/>
    <s v="Smartphone"/>
    <n v="3"/>
    <n v="18000"/>
    <n v="5"/>
    <n v="2700"/>
    <n v="51300"/>
    <x v="722"/>
    <s v="UPI"/>
    <s v="Delivered"/>
  </r>
  <r>
    <s v="ORD0725"/>
    <d v="2023-09-16T00:00:00"/>
    <s v="CUST1067"/>
    <s v="Deepa Verma"/>
    <x v="7"/>
    <x v="6"/>
    <s v="Dumbbells"/>
    <n v="3"/>
    <n v="2200"/>
    <n v="15"/>
    <n v="990"/>
    <n v="5610"/>
    <x v="723"/>
    <s v="Debit Card"/>
    <s v="Delivered"/>
  </r>
  <r>
    <s v="ORD0726"/>
    <d v="2023-09-15T00:00:00"/>
    <s v="CUST1363"/>
    <s v="Suresh Pillai"/>
    <x v="7"/>
    <x v="2"/>
    <s v="Bookshelf"/>
    <n v="4"/>
    <n v="4200"/>
    <n v="5"/>
    <n v="840"/>
    <n v="15960"/>
    <x v="724"/>
    <s v="Debit Card"/>
    <s v="Delivered"/>
  </r>
  <r>
    <s v="ORD0727"/>
    <d v="2023-06-10T00:00:00"/>
    <s v="CUST1474"/>
    <s v="Nisha Rao"/>
    <x v="6"/>
    <x v="0"/>
    <s v="Laptop"/>
    <n v="4"/>
    <n v="55000"/>
    <n v="10"/>
    <n v="22000"/>
    <n v="198000"/>
    <x v="725"/>
    <s v="Net Banking"/>
    <s v="Delivered"/>
  </r>
  <r>
    <s v="ORD0728"/>
    <d v="2023-09-22T00:00:00"/>
    <s v="CUST1251"/>
    <s v="Rohan Mishra"/>
    <x v="4"/>
    <x v="1"/>
    <s v="Atta (10kg)"/>
    <n v="2"/>
    <n v="450"/>
    <n v="10"/>
    <n v="90"/>
    <n v="810"/>
    <x v="726"/>
    <s v="UPI"/>
    <s v="Delivered"/>
  </r>
  <r>
    <s v="ORD0729"/>
    <d v="2023-03-18T00:00:00"/>
    <s v="CUST1083"/>
    <s v="Arun Pillai"/>
    <x v="0"/>
    <x v="0"/>
    <s v="Laptop"/>
    <n v="2"/>
    <n v="55000"/>
    <n v="0"/>
    <n v="0"/>
    <n v="110000"/>
    <x v="727"/>
    <s v="Cash on Delivery"/>
    <s v="Delivered"/>
  </r>
  <r>
    <s v="ORD0730"/>
    <d v="2023-08-15T00:00:00"/>
    <s v="CUST1057"/>
    <s v="Rohan Gupta"/>
    <x v="3"/>
    <x v="1"/>
    <s v="Tea Powder"/>
    <n v="5"/>
    <n v="250"/>
    <n v="15"/>
    <n v="187.5"/>
    <n v="1062.5"/>
    <x v="728"/>
    <s v="UPI"/>
    <s v="Delivered"/>
  </r>
  <r>
    <s v="ORD0731"/>
    <d v="2023-05-26T00:00:00"/>
    <s v="CUST1139"/>
    <s v="Manish Agarwal"/>
    <x v="2"/>
    <x v="5"/>
    <s v="Sneakers"/>
    <n v="2"/>
    <n v="3499"/>
    <n v="25"/>
    <n v="1749.5"/>
    <n v="5248.5"/>
    <x v="729"/>
    <s v="Net Banking"/>
    <s v="Delivered"/>
  </r>
  <r>
    <s v="ORD0732"/>
    <d v="2023-09-27T00:00:00"/>
    <s v="CUST1126"/>
    <s v="Kavita Gupta"/>
    <x v="3"/>
    <x v="3"/>
    <s v="Business Analytics"/>
    <n v="2"/>
    <n v="699"/>
    <n v="15"/>
    <n v="209.7"/>
    <n v="1188.3"/>
    <x v="730"/>
    <s v="UPI"/>
    <s v="Delivered"/>
  </r>
  <r>
    <s v="ORD0733"/>
    <d v="2023-12-15T00:00:00"/>
    <s v="CUST1487"/>
    <s v="Diya Joshi"/>
    <x v="7"/>
    <x v="4"/>
    <s v="Moisturizer"/>
    <n v="4"/>
    <n v="450"/>
    <n v="10"/>
    <n v="180"/>
    <n v="1620"/>
    <x v="731"/>
    <s v="UPI"/>
    <s v="Delivered"/>
  </r>
  <r>
    <s v="ORD0734"/>
    <d v="2023-08-24T00:00:00"/>
    <s v="CUST1137"/>
    <s v="Anjali Sharma"/>
    <x v="3"/>
    <x v="3"/>
    <s v="Finance Book"/>
    <n v="4"/>
    <n v="549"/>
    <n v="15"/>
    <n v="329.4"/>
    <n v="1866.6"/>
    <x v="732"/>
    <s v="UPI"/>
    <s v="Cancelled"/>
  </r>
  <r>
    <s v="ORD0735"/>
    <d v="2023-08-20T00:00:00"/>
    <s v="CUST1024"/>
    <s v="Meera Joshi"/>
    <x v="5"/>
    <x v="1"/>
    <s v="Tea Powder"/>
    <n v="5"/>
    <n v="250"/>
    <n v="5"/>
    <n v="62.5"/>
    <n v="1187.5"/>
    <x v="733"/>
    <s v="UPI"/>
    <s v="Cancelled"/>
  </r>
  <r>
    <s v="ORD0736"/>
    <d v="2023-11-05T00:00:00"/>
    <s v="CUST1494"/>
    <s v="Vijay Patel"/>
    <x v="5"/>
    <x v="2"/>
    <s v="Office Chair"/>
    <n v="4"/>
    <n v="8500"/>
    <n v="10"/>
    <n v="3400"/>
    <n v="30600"/>
    <x v="734"/>
    <s v="Credit Card"/>
    <s v="Delivered"/>
  </r>
  <r>
    <s v="ORD0737"/>
    <d v="2023-07-18T00:00:00"/>
    <s v="CUST1334"/>
    <s v="Rohan Gupta"/>
    <x v="6"/>
    <x v="3"/>
    <s v="SQL Guide"/>
    <n v="3"/>
    <n v="449"/>
    <n v="25"/>
    <n v="336.75"/>
    <n v="1010.25"/>
    <x v="735"/>
    <s v="Cash on Delivery"/>
    <s v="Returned"/>
  </r>
  <r>
    <s v="ORD0738"/>
    <d v="2023-06-08T00:00:00"/>
    <s v="CUST1426"/>
    <s v="Pooja Tiwari"/>
    <x v="2"/>
    <x v="4"/>
    <s v="Foundation"/>
    <n v="2"/>
    <n v="850"/>
    <n v="10"/>
    <n v="170"/>
    <n v="1530"/>
    <x v="736"/>
    <s v="Cash on Delivery"/>
    <s v="Returned"/>
  </r>
  <r>
    <s v="ORD0739"/>
    <d v="2023-07-18T00:00:00"/>
    <s v="CUST1387"/>
    <s v="Nisha Shah"/>
    <x v="7"/>
    <x v="2"/>
    <s v="Bookshelf"/>
    <n v="5"/>
    <n v="4200"/>
    <n v="20"/>
    <n v="4200"/>
    <n v="16800"/>
    <x v="737"/>
    <s v="Cash on Delivery"/>
    <s v="Returned"/>
  </r>
  <r>
    <s v="ORD0740"/>
    <d v="2023-02-17T00:00:00"/>
    <s v="CUST1331"/>
    <s v="Rohan Bhat"/>
    <x v="0"/>
    <x v="0"/>
    <s v="Tablet"/>
    <n v="3"/>
    <n v="22000"/>
    <n v="15"/>
    <n v="9900"/>
    <n v="56100"/>
    <x v="738"/>
    <s v="Debit Card"/>
    <s v="Returned"/>
  </r>
  <r>
    <s v="ORD0741"/>
    <d v="2023-08-12T00:00:00"/>
    <s v="CUST1065"/>
    <s v="Meera Singh"/>
    <x v="1"/>
    <x v="0"/>
    <s v="Speaker"/>
    <n v="4"/>
    <n v="4500"/>
    <n v="10"/>
    <n v="1800"/>
    <n v="16200"/>
    <x v="739"/>
    <s v="Debit Card"/>
    <s v="Cancelled"/>
  </r>
  <r>
    <s v="ORD0742"/>
    <d v="2023-01-25T00:00:00"/>
    <s v="CUST1217"/>
    <s v="Nisha Gupta"/>
    <x v="4"/>
    <x v="6"/>
    <s v="Cricket Bat"/>
    <n v="1"/>
    <n v="2500"/>
    <n v="20"/>
    <n v="500"/>
    <n v="2000"/>
    <x v="740"/>
    <s v="Net Banking"/>
    <s v="Delivered"/>
  </r>
  <r>
    <s v="ORD0743"/>
    <d v="2023-07-01T00:00:00"/>
    <s v="CUST1379"/>
    <s v="Arun Nair"/>
    <x v="7"/>
    <x v="1"/>
    <s v="Sugar (2kg)"/>
    <n v="1"/>
    <n v="90"/>
    <n v="20"/>
    <n v="18"/>
    <n v="72"/>
    <x v="741"/>
    <s v="Cash on Delivery"/>
    <s v="Delivered"/>
  </r>
  <r>
    <s v="ORD0744"/>
    <d v="2023-02-12T00:00:00"/>
    <s v="CUST1232"/>
    <s v="Arun Khanna"/>
    <x v="6"/>
    <x v="2"/>
    <s v="Bed Frame"/>
    <n v="3"/>
    <n v="15000"/>
    <n v="10"/>
    <n v="4500"/>
    <n v="40500"/>
    <x v="742"/>
    <s v="Debit Card"/>
    <s v="Delivered"/>
  </r>
  <r>
    <s v="ORD0745"/>
    <d v="2023-04-19T00:00:00"/>
    <s v="CUST1054"/>
    <s v="Nisha Mishra"/>
    <x v="5"/>
    <x v="5"/>
    <s v="T-Shirt"/>
    <n v="5"/>
    <n v="499"/>
    <n v="10"/>
    <n v="249.5"/>
    <n v="2245.5"/>
    <x v="743"/>
    <s v="UPI"/>
    <s v="Returned"/>
  </r>
  <r>
    <s v="ORD0746"/>
    <d v="2023-03-01T00:00:00"/>
    <s v="CUST1444"/>
    <s v="Anjali Bhat"/>
    <x v="6"/>
    <x v="0"/>
    <s v="Laptop"/>
    <n v="4"/>
    <n v="55000"/>
    <n v="15"/>
    <n v="33000"/>
    <n v="187000"/>
    <x v="744"/>
    <s v="Net Banking"/>
    <s v="Cancelled"/>
  </r>
  <r>
    <s v="ORD0747"/>
    <d v="2023-07-04T00:00:00"/>
    <s v="CUST1069"/>
    <s v="Aarav Iyer"/>
    <x v="0"/>
    <x v="4"/>
    <s v="Perfume"/>
    <n v="4"/>
    <n v="1800"/>
    <n v="10"/>
    <n v="720"/>
    <n v="6480"/>
    <x v="745"/>
    <s v="UPI"/>
    <s v="Delivered"/>
  </r>
  <r>
    <s v="ORD0748"/>
    <d v="2023-01-14T00:00:00"/>
    <s v="CUST1431"/>
    <s v="Deepa Iyer"/>
    <x v="0"/>
    <x v="5"/>
    <s v="Saree"/>
    <n v="2"/>
    <n v="2500"/>
    <n v="25"/>
    <n v="1250"/>
    <n v="3750"/>
    <x v="746"/>
    <s v="Debit Card"/>
    <s v="Returned"/>
  </r>
  <r>
    <s v="ORD0749"/>
    <d v="2023-03-17T00:00:00"/>
    <s v="CUST1078"/>
    <s v="Arun Bhat"/>
    <x v="4"/>
    <x v="2"/>
    <s v="Wardrobe"/>
    <n v="1"/>
    <n v="18000"/>
    <n v="0"/>
    <n v="0"/>
    <n v="18000"/>
    <x v="747"/>
    <s v="UPI"/>
    <s v="Returned"/>
  </r>
  <r>
    <s v="ORD0750"/>
    <d v="2023-10-27T00:00:00"/>
    <s v="CUST1200"/>
    <s v="Vivaan Joshi"/>
    <x v="5"/>
    <x v="5"/>
    <s v="Jeans"/>
    <n v="3"/>
    <n v="1299"/>
    <n v="20"/>
    <n v="779.4"/>
    <n v="3117.6"/>
    <x v="748"/>
    <s v="UPI"/>
    <s v="Returned"/>
  </r>
  <r>
    <s v="ORD0751"/>
    <d v="2023-08-01T00:00:00"/>
    <s v="CUST1148"/>
    <s v="Vivaan Bhat"/>
    <x v="1"/>
    <x v="3"/>
    <s v="SQL Guide"/>
    <n v="5"/>
    <n v="449"/>
    <n v="20"/>
    <n v="449"/>
    <n v="1796"/>
    <x v="749"/>
    <s v="Cash on Delivery"/>
    <s v="Cancelled"/>
  </r>
  <r>
    <s v="ORD0752"/>
    <d v="2023-10-30T00:00:00"/>
    <s v="CUST1270"/>
    <s v="Aarav Pillai"/>
    <x v="3"/>
    <x v="4"/>
    <s v="Foundation"/>
    <n v="4"/>
    <n v="850"/>
    <n v="5"/>
    <n v="170"/>
    <n v="3230"/>
    <x v="750"/>
    <s v="Net Banking"/>
    <s v="Delivered"/>
  </r>
  <r>
    <s v="ORD0753"/>
    <d v="2023-05-18T00:00:00"/>
    <s v="CUST1480"/>
    <s v="Pooja Das"/>
    <x v="1"/>
    <x v="4"/>
    <s v="Lipstick"/>
    <n v="4"/>
    <n v="650"/>
    <n v="0"/>
    <n v="0"/>
    <n v="2600"/>
    <x v="751"/>
    <s v="UPI"/>
    <s v="Delivered"/>
  </r>
  <r>
    <s v="ORD0754"/>
    <d v="2023-05-28T00:00:00"/>
    <s v="CUST1259"/>
    <s v="Sneha Agarwal"/>
    <x v="3"/>
    <x v="4"/>
    <s v="Shampoo"/>
    <n v="4"/>
    <n v="300"/>
    <n v="10"/>
    <n v="120"/>
    <n v="1080"/>
    <x v="752"/>
    <s v="Net Banking"/>
    <s v="Returned"/>
  </r>
  <r>
    <s v="ORD0755"/>
    <d v="2023-03-09T00:00:00"/>
    <s v="CUST1344"/>
    <s v="Pooja Bhat"/>
    <x v="7"/>
    <x v="1"/>
    <s v="Tea Powder"/>
    <n v="4"/>
    <n v="250"/>
    <n v="15"/>
    <n v="150"/>
    <n v="850"/>
    <x v="753"/>
    <s v="Net Banking"/>
    <s v="Delivered"/>
  </r>
  <r>
    <s v="ORD0756"/>
    <d v="2023-05-25T00:00:00"/>
    <s v="CUST1088"/>
    <s v="Kiran Nair"/>
    <x v="4"/>
    <x v="4"/>
    <s v="Perfume"/>
    <n v="1"/>
    <n v="1800"/>
    <n v="25"/>
    <n v="450"/>
    <n v="1350"/>
    <x v="754"/>
    <s v="UPI"/>
    <s v="Returned"/>
  </r>
  <r>
    <s v="ORD0757"/>
    <d v="2023-09-10T00:00:00"/>
    <s v="CUST1009"/>
    <s v="Pooja Kumar"/>
    <x v="3"/>
    <x v="1"/>
    <s v="Dal (1kg)"/>
    <n v="2"/>
    <n v="120"/>
    <n v="20"/>
    <n v="48"/>
    <n v="192"/>
    <x v="755"/>
    <s v="Credit Card"/>
    <s v="Delivered"/>
  </r>
  <r>
    <s v="ORD0758"/>
    <d v="2023-09-15T00:00:00"/>
    <s v="CUST1316"/>
    <s v="Sneha Gupta"/>
    <x v="2"/>
    <x v="0"/>
    <s v="Speaker"/>
    <n v="1"/>
    <n v="4500"/>
    <n v="10"/>
    <n v="450"/>
    <n v="4050"/>
    <x v="756"/>
    <s v="Cash on Delivery"/>
    <s v="Delivered"/>
  </r>
  <r>
    <s v="ORD0759"/>
    <d v="2023-06-24T00:00:00"/>
    <s v="CUST1077"/>
    <s v="Suresh Khanna"/>
    <x v="0"/>
    <x v="3"/>
    <s v="Data Science 101"/>
    <n v="1"/>
    <n v="599"/>
    <n v="20"/>
    <n v="119.8"/>
    <n v="479.2"/>
    <x v="757"/>
    <s v="UPI"/>
    <s v="Returned"/>
  </r>
  <r>
    <s v="ORD0760"/>
    <d v="2023-08-23T00:00:00"/>
    <s v="CUST1312"/>
    <s v="Diya Mishra"/>
    <x v="5"/>
    <x v="3"/>
    <s v="Novel"/>
    <n v="1"/>
    <n v="299"/>
    <n v="0"/>
    <n v="0"/>
    <n v="299"/>
    <x v="758"/>
    <s v="Net Banking"/>
    <s v="Delivered"/>
  </r>
  <r>
    <s v="ORD0761"/>
    <d v="2023-03-27T00:00:00"/>
    <s v="CUST1149"/>
    <s v="Arun Tiwari"/>
    <x v="4"/>
    <x v="4"/>
    <s v="Moisturizer"/>
    <n v="2"/>
    <n v="450"/>
    <n v="10"/>
    <n v="90"/>
    <n v="810"/>
    <x v="759"/>
    <s v="UPI"/>
    <s v="Delivered"/>
  </r>
  <r>
    <s v="ORD0762"/>
    <d v="2023-11-28T00:00:00"/>
    <s v="CUST1224"/>
    <s v="Nisha Sharma"/>
    <x v="2"/>
    <x v="1"/>
    <s v="Oil (1L)"/>
    <n v="2"/>
    <n v="180"/>
    <n v="0"/>
    <n v="0"/>
    <n v="360"/>
    <x v="760"/>
    <s v="Cash on Delivery"/>
    <s v="Delivered"/>
  </r>
  <r>
    <s v="ORD0763"/>
    <d v="2023-05-27T00:00:00"/>
    <s v="CUST1386"/>
    <s v="Nisha Shah"/>
    <x v="2"/>
    <x v="6"/>
    <s v="Football"/>
    <n v="1"/>
    <n v="800"/>
    <n v="10"/>
    <n v="80"/>
    <n v="720"/>
    <x v="761"/>
    <s v="Credit Card"/>
    <s v="Cancelled"/>
  </r>
  <r>
    <s v="ORD0764"/>
    <d v="2023-08-04T00:00:00"/>
    <s v="CUST1209"/>
    <s v="Arun Tiwari"/>
    <x v="3"/>
    <x v="3"/>
    <s v="Excel Mastery"/>
    <n v="2"/>
    <n v="399"/>
    <n v="15"/>
    <n v="119.7"/>
    <n v="678.3"/>
    <x v="762"/>
    <s v="UPI"/>
    <s v="Returned"/>
  </r>
  <r>
    <s v="ORD0765"/>
    <d v="2023-03-16T00:00:00"/>
    <s v="CUST1161"/>
    <s v="Vijay Nair"/>
    <x v="1"/>
    <x v="3"/>
    <s v="Python Basics"/>
    <n v="5"/>
    <n v="499"/>
    <n v="0"/>
    <n v="0"/>
    <n v="2495"/>
    <x v="763"/>
    <s v="UPI"/>
    <s v="Returned"/>
  </r>
  <r>
    <s v="ORD0766"/>
    <d v="2023-01-19T00:00:00"/>
    <s v="CUST1323"/>
    <s v="Suresh Rao"/>
    <x v="1"/>
    <x v="4"/>
    <s v="Perfume"/>
    <n v="2"/>
    <n v="1800"/>
    <n v="20"/>
    <n v="720"/>
    <n v="2880"/>
    <x v="764"/>
    <s v="Cash on Delivery"/>
    <s v="Cancelled"/>
  </r>
  <r>
    <s v="ORD0767"/>
    <d v="2023-06-05T00:00:00"/>
    <s v="CUST1143"/>
    <s v="Suresh Khanna"/>
    <x v="7"/>
    <x v="4"/>
    <s v="Perfume"/>
    <n v="3"/>
    <n v="1800"/>
    <n v="10"/>
    <n v="540"/>
    <n v="4860"/>
    <x v="765"/>
    <s v="Cash on Delivery"/>
    <s v="Returned"/>
  </r>
  <r>
    <s v="ORD0768"/>
    <d v="2023-11-26T00:00:00"/>
    <s v="CUST1357"/>
    <s v="Pooja Mehta"/>
    <x v="2"/>
    <x v="5"/>
    <s v="Jacket"/>
    <n v="5"/>
    <n v="1999"/>
    <n v="20"/>
    <n v="1999"/>
    <n v="7996"/>
    <x v="766"/>
    <s v="Debit Card"/>
    <s v="Delivered"/>
  </r>
  <r>
    <s v="ORD0769"/>
    <d v="2023-01-19T00:00:00"/>
    <s v="CUST1450"/>
    <s v="Rohan Tiwari"/>
    <x v="6"/>
    <x v="6"/>
    <s v="Yoga Mat"/>
    <n v="4"/>
    <n v="700"/>
    <n v="25"/>
    <n v="700"/>
    <n v="2100"/>
    <x v="767"/>
    <s v="Credit Card"/>
    <s v="Delivered"/>
  </r>
  <r>
    <s v="ORD0770"/>
    <d v="2023-09-19T00:00:00"/>
    <s v="CUST1081"/>
    <s v="Aarav Sharma"/>
    <x v="6"/>
    <x v="6"/>
    <s v="Yoga Mat"/>
    <n v="5"/>
    <n v="700"/>
    <n v="10"/>
    <n v="350"/>
    <n v="3150"/>
    <x v="768"/>
    <s v="Credit Card"/>
    <s v="Delivered"/>
  </r>
  <r>
    <s v="ORD0771"/>
    <d v="2023-08-05T00:00:00"/>
    <s v="CUST1259"/>
    <s v="Pooja Gupta"/>
    <x v="5"/>
    <x v="6"/>
    <s v="Cricket Bat"/>
    <n v="1"/>
    <n v="2500"/>
    <n v="10"/>
    <n v="250"/>
    <n v="2250"/>
    <x v="769"/>
    <s v="UPI"/>
    <s v="Returned"/>
  </r>
  <r>
    <s v="ORD0772"/>
    <d v="2023-06-02T00:00:00"/>
    <s v="CUST1120"/>
    <s v="Manish Agarwal"/>
    <x v="2"/>
    <x v="6"/>
    <s v="Cycle"/>
    <n v="1"/>
    <n v="12000"/>
    <n v="15"/>
    <n v="1800"/>
    <n v="10200"/>
    <x v="770"/>
    <s v="Debit Card"/>
    <s v="Delivered"/>
  </r>
  <r>
    <s v="ORD0773"/>
    <d v="2023-05-26T00:00:00"/>
    <s v="CUST1193"/>
    <s v="Suresh Singh"/>
    <x v="0"/>
    <x v="4"/>
    <s v="Face Wash"/>
    <n v="5"/>
    <n v="250"/>
    <n v="25"/>
    <n v="312.5"/>
    <n v="937.5"/>
    <x v="771"/>
    <s v="Debit Card"/>
    <s v="Cancelled"/>
  </r>
  <r>
    <s v="ORD0774"/>
    <d v="2023-10-26T00:00:00"/>
    <s v="CUST1364"/>
    <s v="Nisha Pillai"/>
    <x v="0"/>
    <x v="5"/>
    <s v="Sneakers"/>
    <n v="3"/>
    <n v="3499"/>
    <n v="15"/>
    <n v="1574.55"/>
    <n v="8922.4500000000007"/>
    <x v="772"/>
    <s v="UPI"/>
    <s v="Delivered"/>
  </r>
  <r>
    <s v="ORD0775"/>
    <d v="2023-08-06T00:00:00"/>
    <s v="CUST1346"/>
    <s v="Suresh Mehta"/>
    <x v="1"/>
    <x v="5"/>
    <s v="Saree"/>
    <n v="2"/>
    <n v="2500"/>
    <n v="15"/>
    <n v="750"/>
    <n v="4250"/>
    <x v="773"/>
    <s v="Debit Card"/>
    <s v="Cancelled"/>
  </r>
  <r>
    <s v="ORD0776"/>
    <d v="2023-09-13T00:00:00"/>
    <s v="CUST1250"/>
    <s v="Nisha Nair"/>
    <x v="7"/>
    <x v="4"/>
    <s v="Lipstick"/>
    <n v="4"/>
    <n v="650"/>
    <n v="25"/>
    <n v="650"/>
    <n v="1950"/>
    <x v="774"/>
    <s v="Net Banking"/>
    <s v="Delivered"/>
  </r>
  <r>
    <s v="ORD0777"/>
    <d v="2023-09-06T00:00:00"/>
    <s v="CUST1270"/>
    <s v="Diya Iyer"/>
    <x v="4"/>
    <x v="4"/>
    <s v="Lipstick"/>
    <n v="2"/>
    <n v="650"/>
    <n v="25"/>
    <n v="325"/>
    <n v="975"/>
    <x v="775"/>
    <s v="Cash on Delivery"/>
    <s v="Delivered"/>
  </r>
  <r>
    <s v="ORD0778"/>
    <d v="2023-03-22T00:00:00"/>
    <s v="CUST1056"/>
    <s v="Diya Shah"/>
    <x v="6"/>
    <x v="6"/>
    <s v="Yoga Mat"/>
    <n v="1"/>
    <n v="700"/>
    <n v="20"/>
    <n v="140"/>
    <n v="560"/>
    <x v="776"/>
    <s v="UPI"/>
    <s v="Cancelled"/>
  </r>
  <r>
    <s v="ORD0779"/>
    <d v="2023-03-20T00:00:00"/>
    <s v="CUST1248"/>
    <s v="Aarav Reddy"/>
    <x v="7"/>
    <x v="0"/>
    <s v="Earbuds"/>
    <n v="3"/>
    <n v="3500"/>
    <n v="10"/>
    <n v="1050"/>
    <n v="9450"/>
    <x v="777"/>
    <s v="Net Banking"/>
    <s v="Returned"/>
  </r>
  <r>
    <s v="ORD0780"/>
    <d v="2023-01-25T00:00:00"/>
    <s v="CUST1250"/>
    <s v="Aarav Gupta"/>
    <x v="3"/>
    <x v="1"/>
    <s v="Oil (1L)"/>
    <n v="2"/>
    <n v="180"/>
    <n v="5"/>
    <n v="18"/>
    <n v="342"/>
    <x v="778"/>
    <s v="UPI"/>
    <s v="Delivered"/>
  </r>
  <r>
    <s v="ORD0781"/>
    <d v="2023-08-02T00:00:00"/>
    <s v="CUST1172"/>
    <s v="Vijay Bhat"/>
    <x v="7"/>
    <x v="2"/>
    <s v="Sofa"/>
    <n v="3"/>
    <n v="25000"/>
    <n v="20"/>
    <n v="15000"/>
    <n v="60000"/>
    <x v="779"/>
    <s v="Credit Card"/>
    <s v="Cancelled"/>
  </r>
  <r>
    <s v="ORD0782"/>
    <d v="2023-11-22T00:00:00"/>
    <s v="CUST1443"/>
    <s v="Arjun Patel"/>
    <x v="1"/>
    <x v="2"/>
    <s v="Side Table"/>
    <n v="4"/>
    <n v="3200"/>
    <n v="25"/>
    <n v="3200"/>
    <n v="9600"/>
    <x v="780"/>
    <s v="Cash on Delivery"/>
    <s v="Delivered"/>
  </r>
  <r>
    <s v="ORD0783"/>
    <d v="2023-07-22T00:00:00"/>
    <s v="CUST1376"/>
    <s v="Rahul Patel"/>
    <x v="7"/>
    <x v="1"/>
    <s v="Sugar (2kg)"/>
    <n v="1"/>
    <n v="90"/>
    <n v="25"/>
    <n v="22.5"/>
    <n v="67.5"/>
    <x v="781"/>
    <s v="UPI"/>
    <s v="Cancelled"/>
  </r>
  <r>
    <s v="ORD0784"/>
    <d v="2023-11-19T00:00:00"/>
    <s v="CUST1329"/>
    <s v="Deepa Patel"/>
    <x v="2"/>
    <x v="3"/>
    <s v="Novel"/>
    <n v="3"/>
    <n v="299"/>
    <n v="20"/>
    <n v="179.4"/>
    <n v="717.6"/>
    <x v="782"/>
    <s v="Net Banking"/>
    <s v="Cancelled"/>
  </r>
  <r>
    <s v="ORD0785"/>
    <d v="2023-10-23T00:00:00"/>
    <s v="CUST1243"/>
    <s v="Suresh Sharma"/>
    <x v="0"/>
    <x v="3"/>
    <s v="Python Basics"/>
    <n v="5"/>
    <n v="499"/>
    <n v="20"/>
    <n v="499"/>
    <n v="1996"/>
    <x v="783"/>
    <s v="Net Banking"/>
    <s v="Delivered"/>
  </r>
  <r>
    <s v="ORD0786"/>
    <d v="2023-01-10T00:00:00"/>
    <s v="CUST1429"/>
    <s v="Manish Das"/>
    <x v="0"/>
    <x v="1"/>
    <s v="Coffee"/>
    <n v="2"/>
    <n v="400"/>
    <n v="5"/>
    <n v="40"/>
    <n v="760"/>
    <x v="784"/>
    <s v="Net Banking"/>
    <s v="Cancelled"/>
  </r>
  <r>
    <s v="ORD0787"/>
    <d v="2023-06-14T00:00:00"/>
    <s v="CUST1011"/>
    <s v="Arjun Pillai"/>
    <x v="7"/>
    <x v="2"/>
    <s v="Sofa"/>
    <n v="1"/>
    <n v="25000"/>
    <n v="15"/>
    <n v="3750"/>
    <n v="21250"/>
    <x v="785"/>
    <s v="Cash on Delivery"/>
    <s v="Delivered"/>
  </r>
  <r>
    <s v="ORD0788"/>
    <d v="2023-09-28T00:00:00"/>
    <s v="CUST1050"/>
    <s v="Deepa Nair"/>
    <x v="6"/>
    <x v="1"/>
    <s v="Atta (10kg)"/>
    <n v="3"/>
    <n v="450"/>
    <n v="0"/>
    <n v="0"/>
    <n v="1350"/>
    <x v="786"/>
    <s v="Credit Card"/>
    <s v="Delivered"/>
  </r>
  <r>
    <s v="ORD0789"/>
    <d v="2023-05-11T00:00:00"/>
    <s v="CUST1347"/>
    <s v="Priya Verma"/>
    <x v="3"/>
    <x v="3"/>
    <s v="Python Basics"/>
    <n v="2"/>
    <n v="499"/>
    <n v="10"/>
    <n v="99.8"/>
    <n v="898.2"/>
    <x v="787"/>
    <s v="Credit Card"/>
    <s v="Delivered"/>
  </r>
  <r>
    <s v="ORD0790"/>
    <d v="2023-01-30T00:00:00"/>
    <s v="CUST1457"/>
    <s v="Arjun Kumar"/>
    <x v="1"/>
    <x v="1"/>
    <s v="Atta (10kg)"/>
    <n v="1"/>
    <n v="450"/>
    <n v="10"/>
    <n v="45"/>
    <n v="405"/>
    <x v="788"/>
    <s v="UPI"/>
    <s v="Delivered"/>
  </r>
  <r>
    <s v="ORD0791"/>
    <d v="2023-04-14T00:00:00"/>
    <s v="CUST1260"/>
    <s v="Suresh Mehta"/>
    <x v="0"/>
    <x v="5"/>
    <s v="Sneakers"/>
    <n v="5"/>
    <n v="3499"/>
    <n v="20"/>
    <n v="3499"/>
    <n v="13996"/>
    <x v="789"/>
    <s v="Debit Card"/>
    <s v="Delivered"/>
  </r>
  <r>
    <s v="ORD0792"/>
    <d v="2023-06-12T00:00:00"/>
    <s v="CUST1208"/>
    <s v="Sneha Sharma"/>
    <x v="6"/>
    <x v="2"/>
    <s v="Sofa"/>
    <n v="4"/>
    <n v="25000"/>
    <n v="0"/>
    <n v="0"/>
    <n v="100000"/>
    <x v="790"/>
    <s v="Net Banking"/>
    <s v="Cancelled"/>
  </r>
  <r>
    <s v="ORD0793"/>
    <d v="2023-12-12T00:00:00"/>
    <s v="CUST1155"/>
    <s v="Manish Pillai"/>
    <x v="4"/>
    <x v="0"/>
    <s v="Laptop"/>
    <n v="5"/>
    <n v="55000"/>
    <n v="25"/>
    <n v="68750"/>
    <n v="206250"/>
    <x v="791"/>
    <s v="UPI"/>
    <s v="Cancelled"/>
  </r>
  <r>
    <s v="ORD0794"/>
    <d v="2023-04-15T00:00:00"/>
    <s v="CUST1400"/>
    <s v="Sneha Mishra"/>
    <x v="1"/>
    <x v="3"/>
    <s v="Excel Mastery"/>
    <n v="3"/>
    <n v="399"/>
    <n v="20"/>
    <n v="239.4"/>
    <n v="957.6"/>
    <x v="792"/>
    <s v="Net Banking"/>
    <s v="Returned"/>
  </r>
  <r>
    <s v="ORD0795"/>
    <d v="2023-01-22T00:00:00"/>
    <s v="CUST1497"/>
    <s v="Priya Sharma"/>
    <x v="5"/>
    <x v="0"/>
    <s v="Speaker"/>
    <n v="4"/>
    <n v="4500"/>
    <n v="20"/>
    <n v="3600"/>
    <n v="14400"/>
    <x v="793"/>
    <s v="Cash on Delivery"/>
    <s v="Delivered"/>
  </r>
  <r>
    <s v="ORD0796"/>
    <d v="2023-11-03T00:00:00"/>
    <s v="CUST1108"/>
    <s v="Manish Tiwari"/>
    <x v="6"/>
    <x v="1"/>
    <s v="Coffee"/>
    <n v="4"/>
    <n v="400"/>
    <n v="10"/>
    <n v="160"/>
    <n v="1440"/>
    <x v="794"/>
    <s v="UPI"/>
    <s v="Delivered"/>
  </r>
  <r>
    <s v="ORD0797"/>
    <d v="2023-10-01T00:00:00"/>
    <s v="CUST1062"/>
    <s v="Rohan Mishra"/>
    <x v="6"/>
    <x v="6"/>
    <s v="Cricket Bat"/>
    <n v="3"/>
    <n v="2500"/>
    <n v="0"/>
    <n v="0"/>
    <n v="7500"/>
    <x v="795"/>
    <s v="Cash on Delivery"/>
    <s v="Delivered"/>
  </r>
  <r>
    <s v="ORD0798"/>
    <d v="2023-11-09T00:00:00"/>
    <s v="CUST1325"/>
    <s v="Rahul Das"/>
    <x v="6"/>
    <x v="6"/>
    <s v="Running Shoes"/>
    <n v="3"/>
    <n v="3500"/>
    <n v="25"/>
    <n v="2625"/>
    <n v="7875"/>
    <x v="796"/>
    <s v="Credit Card"/>
    <s v="Delivered"/>
  </r>
  <r>
    <s v="ORD0799"/>
    <d v="2023-06-24T00:00:00"/>
    <s v="CUST1354"/>
    <s v="Rohan Sharma"/>
    <x v="4"/>
    <x v="5"/>
    <s v="Saree"/>
    <n v="5"/>
    <n v="2500"/>
    <n v="10"/>
    <n v="1250"/>
    <n v="11250"/>
    <x v="797"/>
    <s v="UPI"/>
    <s v="Delivered"/>
  </r>
  <r>
    <s v="ORD0800"/>
    <d v="2023-12-11T00:00:00"/>
    <s v="CUST1390"/>
    <s v="Vijay Mishra"/>
    <x v="0"/>
    <x v="5"/>
    <s v="Saree"/>
    <n v="5"/>
    <n v="2500"/>
    <n v="25"/>
    <n v="3125"/>
    <n v="9375"/>
    <x v="798"/>
    <s v="UPI"/>
    <s v="Cancelled"/>
  </r>
  <r>
    <s v="ORD0801"/>
    <d v="2023-01-16T00:00:00"/>
    <s v="CUST1497"/>
    <s v="Vijay Khanna"/>
    <x v="3"/>
    <x v="3"/>
    <s v="Novel"/>
    <n v="4"/>
    <n v="299"/>
    <n v="25"/>
    <n v="299"/>
    <n v="897"/>
    <x v="799"/>
    <s v="Cash on Delivery"/>
    <s v="Delivered"/>
  </r>
  <r>
    <s v="ORD0802"/>
    <d v="2023-12-23T00:00:00"/>
    <s v="CUST1227"/>
    <s v="Aarav Singh"/>
    <x v="5"/>
    <x v="0"/>
    <s v="Smartphone"/>
    <n v="4"/>
    <n v="18000"/>
    <n v="10"/>
    <n v="7200"/>
    <n v="64800"/>
    <x v="800"/>
    <s v="Debit Card"/>
    <s v="Delivered"/>
  </r>
  <r>
    <s v="ORD0803"/>
    <d v="2023-04-09T00:00:00"/>
    <s v="CUST1367"/>
    <s v="Sneha Singh"/>
    <x v="4"/>
    <x v="0"/>
    <s v="Speaker"/>
    <n v="5"/>
    <n v="4500"/>
    <n v="25"/>
    <n v="5625"/>
    <n v="16875"/>
    <x v="801"/>
    <s v="Debit Card"/>
    <s v="Delivered"/>
  </r>
  <r>
    <s v="ORD0804"/>
    <d v="2023-05-24T00:00:00"/>
    <s v="CUST1420"/>
    <s v="Vijay Gupta"/>
    <x v="6"/>
    <x v="2"/>
    <s v="Bed Frame"/>
    <n v="5"/>
    <n v="15000"/>
    <n v="5"/>
    <n v="3750"/>
    <n v="71250"/>
    <x v="802"/>
    <s v="Net Banking"/>
    <s v="Cancelled"/>
  </r>
  <r>
    <s v="ORD0805"/>
    <d v="2023-09-10T00:00:00"/>
    <s v="CUST1344"/>
    <s v="Anjali Agarwal"/>
    <x v="7"/>
    <x v="5"/>
    <s v="Jacket"/>
    <n v="2"/>
    <n v="1999"/>
    <n v="25"/>
    <n v="999.5"/>
    <n v="2998.5"/>
    <x v="803"/>
    <s v="UPI"/>
    <s v="Cancelled"/>
  </r>
  <r>
    <s v="ORD0806"/>
    <d v="2023-03-07T00:00:00"/>
    <s v="CUST1438"/>
    <s v="Sneha Tiwari"/>
    <x v="6"/>
    <x v="4"/>
    <s v="Moisturizer"/>
    <n v="2"/>
    <n v="450"/>
    <n v="10"/>
    <n v="90"/>
    <n v="810"/>
    <x v="804"/>
    <s v="Credit Card"/>
    <s v="Delivered"/>
  </r>
  <r>
    <s v="ORD0807"/>
    <d v="2023-12-21T00:00:00"/>
    <s v="CUST1452"/>
    <s v="Arun Sharma"/>
    <x v="1"/>
    <x v="4"/>
    <s v="Foundation"/>
    <n v="5"/>
    <n v="850"/>
    <n v="10"/>
    <n v="425"/>
    <n v="3825"/>
    <x v="805"/>
    <s v="UPI"/>
    <s v="Delivered"/>
  </r>
  <r>
    <s v="ORD0808"/>
    <d v="2023-08-10T00:00:00"/>
    <s v="CUST1238"/>
    <s v="Kavita Shah"/>
    <x v="5"/>
    <x v="3"/>
    <s v="SQL Guide"/>
    <n v="3"/>
    <n v="449"/>
    <n v="0"/>
    <n v="0"/>
    <n v="1347"/>
    <x v="806"/>
    <s v="Credit Card"/>
    <s v="Delivered"/>
  </r>
  <r>
    <s v="ORD0809"/>
    <d v="2023-05-23T00:00:00"/>
    <s v="CUST1099"/>
    <s v="Arjun Patel"/>
    <x v="5"/>
    <x v="2"/>
    <s v="Sofa"/>
    <n v="4"/>
    <n v="25000"/>
    <n v="10"/>
    <n v="10000"/>
    <n v="90000"/>
    <x v="807"/>
    <s v="Credit Card"/>
    <s v="Returned"/>
  </r>
  <r>
    <s v="ORD0810"/>
    <d v="2023-02-08T00:00:00"/>
    <s v="CUST1320"/>
    <s v="Diya Sharma"/>
    <x v="4"/>
    <x v="5"/>
    <s v="Jeans"/>
    <n v="2"/>
    <n v="1299"/>
    <n v="10"/>
    <n v="259.8"/>
    <n v="2338.1999999999998"/>
    <x v="808"/>
    <s v="Cash on Delivery"/>
    <s v="Delivered"/>
  </r>
  <r>
    <s v="ORD0811"/>
    <d v="2023-10-31T00:00:00"/>
    <s v="CUST1242"/>
    <s v="Sneha Joshi"/>
    <x v="5"/>
    <x v="3"/>
    <s v="Finance Book"/>
    <n v="3"/>
    <n v="549"/>
    <n v="10"/>
    <n v="164.7"/>
    <n v="1482.3"/>
    <x v="809"/>
    <s v="Debit Card"/>
    <s v="Cancelled"/>
  </r>
  <r>
    <s v="ORD0812"/>
    <d v="2023-05-02T00:00:00"/>
    <s v="CUST1048"/>
    <s v="Arun Agarwal"/>
    <x v="0"/>
    <x v="0"/>
    <s v="Speaker"/>
    <n v="5"/>
    <n v="4500"/>
    <n v="20"/>
    <n v="4500"/>
    <n v="18000"/>
    <x v="810"/>
    <s v="UPI"/>
    <s v="Delivered"/>
  </r>
  <r>
    <s v="ORD0813"/>
    <d v="2023-01-18T00:00:00"/>
    <s v="CUST1410"/>
    <s v="Arun Verma"/>
    <x v="6"/>
    <x v="2"/>
    <s v="Bookshelf"/>
    <n v="1"/>
    <n v="4200"/>
    <n v="5"/>
    <n v="210"/>
    <n v="3990"/>
    <x v="811"/>
    <s v="Net Banking"/>
    <s v="Returned"/>
  </r>
  <r>
    <s v="ORD0814"/>
    <d v="2023-02-03T00:00:00"/>
    <s v="CUST1435"/>
    <s v="Vijay Mehta"/>
    <x v="0"/>
    <x v="0"/>
    <s v="Charger"/>
    <n v="1"/>
    <n v="800"/>
    <n v="20"/>
    <n v="160"/>
    <n v="640"/>
    <x v="812"/>
    <s v="Net Banking"/>
    <s v="Returned"/>
  </r>
  <r>
    <s v="ORD0815"/>
    <d v="2023-04-30T00:00:00"/>
    <s v="CUST1237"/>
    <s v="Nisha Khanna"/>
    <x v="0"/>
    <x v="3"/>
    <s v="Business Analytics"/>
    <n v="5"/>
    <n v="699"/>
    <n v="0"/>
    <n v="0"/>
    <n v="3495"/>
    <x v="813"/>
    <s v="Debit Card"/>
    <s v="Delivered"/>
  </r>
  <r>
    <s v="ORD0816"/>
    <d v="2023-08-21T00:00:00"/>
    <s v="CUST1006"/>
    <s v="Anjali Patel"/>
    <x v="2"/>
    <x v="6"/>
    <s v="Yoga Mat"/>
    <n v="5"/>
    <n v="700"/>
    <n v="5"/>
    <n v="175"/>
    <n v="3325"/>
    <x v="814"/>
    <s v="Net Banking"/>
    <s v="Delivered"/>
  </r>
  <r>
    <s v="ORD0817"/>
    <d v="2023-11-23T00:00:00"/>
    <s v="CUST1317"/>
    <s v="Arun Nair"/>
    <x v="2"/>
    <x v="6"/>
    <s v="Yoga Mat"/>
    <n v="3"/>
    <n v="700"/>
    <n v="15"/>
    <n v="315"/>
    <n v="1785"/>
    <x v="815"/>
    <s v="Credit Card"/>
    <s v="Delivered"/>
  </r>
  <r>
    <s v="ORD0818"/>
    <d v="2023-01-31T00:00:00"/>
    <s v="CUST1333"/>
    <s v="Pooja Rao"/>
    <x v="7"/>
    <x v="5"/>
    <s v="Kurta"/>
    <n v="5"/>
    <n v="799"/>
    <n v="15"/>
    <n v="599.25"/>
    <n v="3395.75"/>
    <x v="816"/>
    <s v="Credit Card"/>
    <s v="Returned"/>
  </r>
  <r>
    <s v="ORD0819"/>
    <d v="2023-06-08T00:00:00"/>
    <s v="CUST1265"/>
    <s v="Manish Reddy"/>
    <x v="5"/>
    <x v="6"/>
    <s v="Yoga Mat"/>
    <n v="3"/>
    <n v="700"/>
    <n v="10"/>
    <n v="210"/>
    <n v="1890"/>
    <x v="817"/>
    <s v="Credit Card"/>
    <s v="Cancelled"/>
  </r>
  <r>
    <s v="ORD0820"/>
    <d v="2023-10-14T00:00:00"/>
    <s v="CUST1102"/>
    <s v="Kiran Patel"/>
    <x v="3"/>
    <x v="3"/>
    <s v="Python Basics"/>
    <n v="4"/>
    <n v="499"/>
    <n v="10"/>
    <n v="199.6"/>
    <n v="1796.4"/>
    <x v="818"/>
    <s v="Credit Card"/>
    <s v="Returned"/>
  </r>
  <r>
    <s v="ORD0821"/>
    <d v="2023-12-22T00:00:00"/>
    <s v="CUST1296"/>
    <s v="Manish Joshi"/>
    <x v="6"/>
    <x v="4"/>
    <s v="Lipstick"/>
    <n v="5"/>
    <n v="650"/>
    <n v="25"/>
    <n v="812.5"/>
    <n v="2437.5"/>
    <x v="819"/>
    <s v="Cash on Delivery"/>
    <s v="Delivered"/>
  </r>
  <r>
    <s v="ORD0822"/>
    <d v="2023-03-25T00:00:00"/>
    <s v="CUST1001"/>
    <s v="Sneha Singh"/>
    <x v="4"/>
    <x v="0"/>
    <s v="Smartwatch"/>
    <n v="1"/>
    <n v="8000"/>
    <n v="15"/>
    <n v="1200"/>
    <n v="6800"/>
    <x v="820"/>
    <s v="Net Banking"/>
    <s v="Delivered"/>
  </r>
  <r>
    <s v="ORD0823"/>
    <d v="2023-05-03T00:00:00"/>
    <s v="CUST1204"/>
    <s v="Priya Sharma"/>
    <x v="3"/>
    <x v="2"/>
    <s v="Bed Frame"/>
    <n v="3"/>
    <n v="15000"/>
    <n v="25"/>
    <n v="11250"/>
    <n v="33750"/>
    <x v="821"/>
    <s v="UPI"/>
    <s v="Delivered"/>
  </r>
  <r>
    <s v="ORD0824"/>
    <d v="2023-07-03T00:00:00"/>
    <s v="CUST1099"/>
    <s v="Manish Shah"/>
    <x v="5"/>
    <x v="0"/>
    <s v="Tablet"/>
    <n v="1"/>
    <n v="22000"/>
    <n v="5"/>
    <n v="1100"/>
    <n v="20900"/>
    <x v="822"/>
    <s v="UPI"/>
    <s v="Delivered"/>
  </r>
  <r>
    <s v="ORD0825"/>
    <d v="2023-04-12T00:00:00"/>
    <s v="CUST1173"/>
    <s v="Deepa Singh"/>
    <x v="7"/>
    <x v="1"/>
    <s v="Dal (1kg)"/>
    <n v="2"/>
    <n v="120"/>
    <n v="10"/>
    <n v="24"/>
    <n v="216"/>
    <x v="823"/>
    <s v="Credit Card"/>
    <s v="Delivered"/>
  </r>
  <r>
    <s v="ORD0826"/>
    <d v="2023-04-01T00:00:00"/>
    <s v="CUST1070"/>
    <s v="Vijay Gupta"/>
    <x v="3"/>
    <x v="3"/>
    <s v="Data Science 101"/>
    <n v="1"/>
    <n v="599"/>
    <n v="0"/>
    <n v="0"/>
    <n v="599"/>
    <x v="824"/>
    <s v="Credit Card"/>
    <s v="Delivered"/>
  </r>
  <r>
    <s v="ORD0827"/>
    <d v="2023-08-22T00:00:00"/>
    <s v="CUST1269"/>
    <s v="Anjali Pillai"/>
    <x v="0"/>
    <x v="5"/>
    <s v="Kurta"/>
    <n v="3"/>
    <n v="799"/>
    <n v="25"/>
    <n v="599.25"/>
    <n v="1797.75"/>
    <x v="825"/>
    <s v="UPI"/>
    <s v="Delivered"/>
  </r>
  <r>
    <s v="ORD0828"/>
    <d v="2023-03-08T00:00:00"/>
    <s v="CUST1191"/>
    <s v="Arjun Khanna"/>
    <x v="1"/>
    <x v="3"/>
    <s v="Excel Mastery"/>
    <n v="2"/>
    <n v="399"/>
    <n v="20"/>
    <n v="159.6"/>
    <n v="638.4"/>
    <x v="826"/>
    <s v="Credit Card"/>
    <s v="Delivered"/>
  </r>
  <r>
    <s v="ORD0829"/>
    <d v="2023-11-12T00:00:00"/>
    <s v="CUST1167"/>
    <s v="Sneha Verma"/>
    <x v="6"/>
    <x v="6"/>
    <s v="Football"/>
    <n v="5"/>
    <n v="800"/>
    <n v="10"/>
    <n v="400"/>
    <n v="3600"/>
    <x v="827"/>
    <s v="Credit Card"/>
    <s v="Cancelled"/>
  </r>
  <r>
    <s v="ORD0830"/>
    <d v="2023-10-27T00:00:00"/>
    <s v="CUST1314"/>
    <s v="Ananya Nair"/>
    <x v="1"/>
    <x v="2"/>
    <s v="Study Table"/>
    <n v="1"/>
    <n v="6500"/>
    <n v="15"/>
    <n v="975"/>
    <n v="5525"/>
    <x v="828"/>
    <s v="Net Banking"/>
    <s v="Delivered"/>
  </r>
  <r>
    <s v="ORD0831"/>
    <d v="2023-09-13T00:00:00"/>
    <s v="CUST1269"/>
    <s v="Kavita Bhat"/>
    <x v="4"/>
    <x v="6"/>
    <s v="Dumbbells"/>
    <n v="2"/>
    <n v="2200"/>
    <n v="10"/>
    <n v="440"/>
    <n v="3960"/>
    <x v="829"/>
    <s v="Debit Card"/>
    <s v="Cancelled"/>
  </r>
  <r>
    <s v="ORD0832"/>
    <d v="2023-07-25T00:00:00"/>
    <s v="CUST1112"/>
    <s v="Kiran Das"/>
    <x v="2"/>
    <x v="4"/>
    <s v="Face Wash"/>
    <n v="5"/>
    <n v="250"/>
    <n v="25"/>
    <n v="312.5"/>
    <n v="937.5"/>
    <x v="830"/>
    <s v="Cash on Delivery"/>
    <s v="Delivered"/>
  </r>
  <r>
    <s v="ORD0833"/>
    <d v="2023-06-06T00:00:00"/>
    <s v="CUST1191"/>
    <s v="Rahul Mishra"/>
    <x v="0"/>
    <x v="2"/>
    <s v="Wardrobe"/>
    <n v="5"/>
    <n v="18000"/>
    <n v="5"/>
    <n v="4500"/>
    <n v="85500"/>
    <x v="831"/>
    <s v="Credit Card"/>
    <s v="Delivered"/>
  </r>
  <r>
    <s v="ORD0834"/>
    <d v="2023-06-01T00:00:00"/>
    <s v="CUST1238"/>
    <s v="Suresh Khanna"/>
    <x v="3"/>
    <x v="2"/>
    <s v="Sofa"/>
    <n v="3"/>
    <n v="25000"/>
    <n v="5"/>
    <n v="3750"/>
    <n v="71250"/>
    <x v="832"/>
    <s v="Cash on Delivery"/>
    <s v="Returned"/>
  </r>
  <r>
    <s v="ORD0835"/>
    <d v="2023-08-28T00:00:00"/>
    <s v="CUST1195"/>
    <s v="Aarav Nair"/>
    <x v="4"/>
    <x v="2"/>
    <s v="Wardrobe"/>
    <n v="3"/>
    <n v="18000"/>
    <n v="15"/>
    <n v="8100"/>
    <n v="45900"/>
    <x v="833"/>
    <s v="Credit Card"/>
    <s v="Delivered"/>
  </r>
  <r>
    <s v="ORD0836"/>
    <d v="2023-11-27T00:00:00"/>
    <s v="CUST1262"/>
    <s v="Deepa Patel"/>
    <x v="6"/>
    <x v="0"/>
    <s v="Earbuds"/>
    <n v="1"/>
    <n v="3500"/>
    <n v="10"/>
    <n v="350"/>
    <n v="3150"/>
    <x v="834"/>
    <s v="Credit Card"/>
    <s v="Delivered"/>
  </r>
  <r>
    <s v="ORD0837"/>
    <d v="2023-03-02T00:00:00"/>
    <s v="CUST1100"/>
    <s v="Arjun Kumar"/>
    <x v="6"/>
    <x v="0"/>
    <s v="Earbuds"/>
    <n v="1"/>
    <n v="3500"/>
    <n v="20"/>
    <n v="700"/>
    <n v="2800"/>
    <x v="835"/>
    <s v="Debit Card"/>
    <s v="Delivered"/>
  </r>
  <r>
    <s v="ORD0838"/>
    <d v="2023-12-28T00:00:00"/>
    <s v="CUST1153"/>
    <s v="Meera Shah"/>
    <x v="1"/>
    <x v="6"/>
    <s v="Football"/>
    <n v="5"/>
    <n v="800"/>
    <n v="10"/>
    <n v="400"/>
    <n v="3600"/>
    <x v="836"/>
    <s v="Cash on Delivery"/>
    <s v="Cancelled"/>
  </r>
  <r>
    <s v="ORD0839"/>
    <d v="2023-12-02T00:00:00"/>
    <s v="CUST1116"/>
    <s v="Sneha Iyer"/>
    <x v="4"/>
    <x v="0"/>
    <s v="Smartwatch"/>
    <n v="5"/>
    <n v="8000"/>
    <n v="5"/>
    <n v="2000"/>
    <n v="38000"/>
    <x v="837"/>
    <s v="Credit Card"/>
    <s v="Cancelled"/>
  </r>
  <r>
    <s v="ORD0840"/>
    <d v="2023-10-28T00:00:00"/>
    <s v="CUST1174"/>
    <s v="Ananya Joshi"/>
    <x v="2"/>
    <x v="3"/>
    <s v="Business Analytics"/>
    <n v="4"/>
    <n v="699"/>
    <n v="25"/>
    <n v="699"/>
    <n v="2097"/>
    <x v="838"/>
    <s v="Cash on Delivery"/>
    <s v="Returned"/>
  </r>
  <r>
    <s v="ORD0841"/>
    <d v="2023-04-18T00:00:00"/>
    <s v="CUST1295"/>
    <s v="Rohan Rao"/>
    <x v="5"/>
    <x v="2"/>
    <s v="Wardrobe"/>
    <n v="5"/>
    <n v="18000"/>
    <n v="0"/>
    <n v="0"/>
    <n v="90000"/>
    <x v="839"/>
    <s v="Cash on Delivery"/>
    <s v="Delivered"/>
  </r>
  <r>
    <s v="ORD0842"/>
    <d v="2023-06-23T00:00:00"/>
    <s v="CUST1390"/>
    <s v="Deepa Rao"/>
    <x v="3"/>
    <x v="5"/>
    <s v="Saree"/>
    <n v="4"/>
    <n v="2500"/>
    <n v="25"/>
    <n v="2500"/>
    <n v="7500"/>
    <x v="840"/>
    <s v="Net Banking"/>
    <s v="Delivered"/>
  </r>
  <r>
    <s v="ORD0843"/>
    <d v="2023-10-18T00:00:00"/>
    <s v="CUST1169"/>
    <s v="Manish Khanna"/>
    <x v="1"/>
    <x v="3"/>
    <s v="Python Basics"/>
    <n v="2"/>
    <n v="499"/>
    <n v="5"/>
    <n v="49.9"/>
    <n v="948.1"/>
    <x v="656"/>
    <s v="Cash on Delivery"/>
    <s v="Delivered"/>
  </r>
  <r>
    <s v="ORD0844"/>
    <d v="2023-07-20T00:00:00"/>
    <s v="CUST1168"/>
    <s v="Manish Das"/>
    <x v="6"/>
    <x v="0"/>
    <s v="Tablet"/>
    <n v="4"/>
    <n v="22000"/>
    <n v="5"/>
    <n v="4400"/>
    <n v="83600"/>
    <x v="841"/>
    <s v="UPI"/>
    <s v="Delivered"/>
  </r>
  <r>
    <s v="ORD0845"/>
    <d v="2023-02-23T00:00:00"/>
    <s v="CUST1308"/>
    <s v="Kavita Sharma"/>
    <x v="7"/>
    <x v="4"/>
    <s v="Foundation"/>
    <n v="2"/>
    <n v="850"/>
    <n v="0"/>
    <n v="0"/>
    <n v="1700"/>
    <x v="842"/>
    <s v="Credit Card"/>
    <s v="Delivered"/>
  </r>
  <r>
    <s v="ORD0846"/>
    <d v="2023-07-17T00:00:00"/>
    <s v="CUST1035"/>
    <s v="Arun Verma"/>
    <x v="3"/>
    <x v="1"/>
    <s v="Dal (1kg)"/>
    <n v="2"/>
    <n v="120"/>
    <n v="10"/>
    <n v="24"/>
    <n v="216"/>
    <x v="843"/>
    <s v="Net Banking"/>
    <s v="Delivered"/>
  </r>
  <r>
    <s v="ORD0847"/>
    <d v="2023-03-29T00:00:00"/>
    <s v="CUST1056"/>
    <s v="Rohan Mishra"/>
    <x v="1"/>
    <x v="1"/>
    <s v="Coffee"/>
    <n v="4"/>
    <n v="400"/>
    <n v="15"/>
    <n v="240"/>
    <n v="1360"/>
    <x v="844"/>
    <s v="Cash on Delivery"/>
    <s v="Delivered"/>
  </r>
  <r>
    <s v="ORD0848"/>
    <d v="2023-07-19T00:00:00"/>
    <s v="CUST1418"/>
    <s v="Kavita Nair"/>
    <x v="6"/>
    <x v="3"/>
    <s v="Excel Mastery"/>
    <n v="2"/>
    <n v="399"/>
    <n v="5"/>
    <n v="39.9"/>
    <n v="758.1"/>
    <x v="845"/>
    <s v="Net Banking"/>
    <s v="Delivered"/>
  </r>
  <r>
    <s v="ORD0849"/>
    <d v="2023-09-15T00:00:00"/>
    <s v="CUST1073"/>
    <s v="Arun Patel"/>
    <x v="1"/>
    <x v="4"/>
    <s v="Perfume"/>
    <n v="4"/>
    <n v="1800"/>
    <n v="10"/>
    <n v="720"/>
    <n v="6480"/>
    <x v="846"/>
    <s v="Net Banking"/>
    <s v="Delivered"/>
  </r>
  <r>
    <s v="ORD0850"/>
    <d v="2023-09-27T00:00:00"/>
    <s v="CUST1020"/>
    <s v="Ananya Rao"/>
    <x v="4"/>
    <x v="1"/>
    <s v="Sugar (2kg)"/>
    <n v="4"/>
    <n v="90"/>
    <n v="15"/>
    <n v="54"/>
    <n v="306"/>
    <x v="847"/>
    <s v="Debit Card"/>
    <s v="Delivered"/>
  </r>
  <r>
    <s v="ORD0851"/>
    <d v="2023-07-20T00:00:00"/>
    <s v="CUST1460"/>
    <s v="Anjali Pillai"/>
    <x v="4"/>
    <x v="6"/>
    <s v="Running Shoes"/>
    <n v="2"/>
    <n v="3500"/>
    <n v="15"/>
    <n v="1050"/>
    <n v="5950"/>
    <x v="848"/>
    <s v="Cash on Delivery"/>
    <s v="Delivered"/>
  </r>
  <r>
    <s v="ORD0852"/>
    <d v="2023-12-24T00:00:00"/>
    <s v="CUST1122"/>
    <s v="Priya Kumar"/>
    <x v="6"/>
    <x v="6"/>
    <s v="Cricket Bat"/>
    <n v="4"/>
    <n v="2500"/>
    <n v="25"/>
    <n v="2500"/>
    <n v="7500"/>
    <x v="849"/>
    <s v="UPI"/>
    <s v="Delivered"/>
  </r>
  <r>
    <s v="ORD0853"/>
    <d v="2023-09-10T00:00:00"/>
    <s v="CUST1039"/>
    <s v="Diya Tiwari"/>
    <x v="3"/>
    <x v="2"/>
    <s v="Side Table"/>
    <n v="5"/>
    <n v="3200"/>
    <n v="0"/>
    <n v="0"/>
    <n v="16000"/>
    <x v="850"/>
    <s v="Cash on Delivery"/>
    <s v="Returned"/>
  </r>
  <r>
    <s v="ORD0854"/>
    <d v="2023-03-26T00:00:00"/>
    <s v="CUST1037"/>
    <s v="Arun Mehta"/>
    <x v="3"/>
    <x v="1"/>
    <s v="Dal (1kg)"/>
    <n v="5"/>
    <n v="120"/>
    <n v="0"/>
    <n v="0"/>
    <n v="600"/>
    <x v="851"/>
    <s v="Cash on Delivery"/>
    <s v="Delivered"/>
  </r>
  <r>
    <s v="ORD0855"/>
    <d v="2023-07-23T00:00:00"/>
    <s v="CUST1069"/>
    <s v="Arjun Das"/>
    <x v="4"/>
    <x v="0"/>
    <s v="Smartphone"/>
    <n v="3"/>
    <n v="18000"/>
    <n v="0"/>
    <n v="0"/>
    <n v="54000"/>
    <x v="852"/>
    <s v="Cash on Delivery"/>
    <s v="Delivered"/>
  </r>
  <r>
    <s v="ORD0856"/>
    <d v="2023-02-12T00:00:00"/>
    <s v="CUST1071"/>
    <s v="Kavita Kumar"/>
    <x v="7"/>
    <x v="6"/>
    <s v="Cycle"/>
    <n v="2"/>
    <n v="12000"/>
    <n v="25"/>
    <n v="6000"/>
    <n v="18000"/>
    <x v="853"/>
    <s v="Credit Card"/>
    <s v="Delivered"/>
  </r>
  <r>
    <s v="ORD0857"/>
    <d v="2023-11-07T00:00:00"/>
    <s v="CUST1200"/>
    <s v="Priya Patel"/>
    <x v="5"/>
    <x v="0"/>
    <s v="Laptop"/>
    <n v="3"/>
    <n v="55000"/>
    <n v="0"/>
    <n v="0"/>
    <n v="165000"/>
    <x v="854"/>
    <s v="Debit Card"/>
    <s v="Delivered"/>
  </r>
  <r>
    <s v="ORD0858"/>
    <d v="2023-08-14T00:00:00"/>
    <s v="CUST1345"/>
    <s v="Deepa Iyer"/>
    <x v="4"/>
    <x v="1"/>
    <s v="Dal (1kg)"/>
    <n v="2"/>
    <n v="120"/>
    <n v="25"/>
    <n v="60"/>
    <n v="180"/>
    <x v="855"/>
    <s v="UPI"/>
    <s v="Cancelled"/>
  </r>
  <r>
    <s v="ORD0859"/>
    <d v="2023-11-25T00:00:00"/>
    <s v="CUST1227"/>
    <s v="Vivaan Khanna"/>
    <x v="5"/>
    <x v="4"/>
    <s v="Perfume"/>
    <n v="1"/>
    <n v="1800"/>
    <n v="15"/>
    <n v="270"/>
    <n v="1530"/>
    <x v="856"/>
    <s v="UPI"/>
    <s v="Returned"/>
  </r>
  <r>
    <s v="ORD0860"/>
    <d v="2023-04-14T00:00:00"/>
    <s v="CUST1215"/>
    <s v="Aarav Sharma"/>
    <x v="3"/>
    <x v="5"/>
    <s v="Kurta"/>
    <n v="2"/>
    <n v="799"/>
    <n v="5"/>
    <n v="79.900000000000006"/>
    <n v="1518.1"/>
    <x v="857"/>
    <s v="Credit Card"/>
    <s v="Delivered"/>
  </r>
  <r>
    <s v="ORD0861"/>
    <d v="2023-04-23T00:00:00"/>
    <s v="CUST1212"/>
    <s v="Suresh Gupta"/>
    <x v="3"/>
    <x v="0"/>
    <s v="Speaker"/>
    <n v="2"/>
    <n v="4500"/>
    <n v="25"/>
    <n v="2250"/>
    <n v="6750"/>
    <x v="858"/>
    <s v="Debit Card"/>
    <s v="Cancelled"/>
  </r>
  <r>
    <s v="ORD0862"/>
    <d v="2023-11-17T00:00:00"/>
    <s v="CUST1219"/>
    <s v="Diya Singh"/>
    <x v="2"/>
    <x v="5"/>
    <s v="Jacket"/>
    <n v="2"/>
    <n v="1999"/>
    <n v="20"/>
    <n v="799.6"/>
    <n v="3198.4"/>
    <x v="859"/>
    <s v="UPI"/>
    <s v="Delivered"/>
  </r>
  <r>
    <s v="ORD0863"/>
    <d v="2023-06-15T00:00:00"/>
    <s v="CUST1199"/>
    <s v="Kiran Das"/>
    <x v="2"/>
    <x v="5"/>
    <s v="T-Shirt"/>
    <n v="4"/>
    <n v="499"/>
    <n v="25"/>
    <n v="499"/>
    <n v="1497"/>
    <x v="860"/>
    <s v="UPI"/>
    <s v="Delivered"/>
  </r>
  <r>
    <s v="ORD0864"/>
    <d v="2023-11-29T00:00:00"/>
    <s v="CUST1210"/>
    <s v="Meera Khanna"/>
    <x v="4"/>
    <x v="6"/>
    <s v="Yoga Mat"/>
    <n v="1"/>
    <n v="700"/>
    <n v="0"/>
    <n v="0"/>
    <n v="700"/>
    <x v="861"/>
    <s v="UPI"/>
    <s v="Cancelled"/>
  </r>
  <r>
    <s v="ORD0865"/>
    <d v="2023-10-19T00:00:00"/>
    <s v="CUST1323"/>
    <s v="Vijay Reddy"/>
    <x v="3"/>
    <x v="5"/>
    <s v="Kurta"/>
    <n v="1"/>
    <n v="799"/>
    <n v="20"/>
    <n v="159.80000000000001"/>
    <n v="639.20000000000005"/>
    <x v="862"/>
    <s v="Credit Card"/>
    <s v="Delivered"/>
  </r>
  <r>
    <s v="ORD0866"/>
    <d v="2023-12-08T00:00:00"/>
    <s v="CUST1299"/>
    <s v="Arun Mehta"/>
    <x v="2"/>
    <x v="2"/>
    <s v="Office Chair"/>
    <n v="3"/>
    <n v="8500"/>
    <n v="0"/>
    <n v="0"/>
    <n v="25500"/>
    <x v="863"/>
    <s v="Net Banking"/>
    <s v="Cancelled"/>
  </r>
  <r>
    <s v="ORD0867"/>
    <d v="2023-12-27T00:00:00"/>
    <s v="CUST1063"/>
    <s v="Meera Singh"/>
    <x v="1"/>
    <x v="0"/>
    <s v="Laptop"/>
    <n v="1"/>
    <n v="55000"/>
    <n v="20"/>
    <n v="11000"/>
    <n v="44000"/>
    <x v="864"/>
    <s v="Credit Card"/>
    <s v="Cancelled"/>
  </r>
  <r>
    <s v="ORD0868"/>
    <d v="2023-02-10T00:00:00"/>
    <s v="CUST1077"/>
    <s v="Vijay Iyer"/>
    <x v="5"/>
    <x v="0"/>
    <s v="Laptop"/>
    <n v="3"/>
    <n v="55000"/>
    <n v="15"/>
    <n v="24750"/>
    <n v="140250"/>
    <x v="865"/>
    <s v="Credit Card"/>
    <s v="Cancelled"/>
  </r>
  <r>
    <s v="ORD0869"/>
    <d v="2023-08-16T00:00:00"/>
    <s v="CUST1402"/>
    <s v="Vivaan Tiwari"/>
    <x v="1"/>
    <x v="4"/>
    <s v="Sunscreen"/>
    <n v="2"/>
    <n v="350"/>
    <n v="10"/>
    <n v="70"/>
    <n v="630"/>
    <x v="866"/>
    <s v="Debit Card"/>
    <s v="Delivered"/>
  </r>
  <r>
    <s v="ORD0870"/>
    <d v="2023-04-28T00:00:00"/>
    <s v="CUST1276"/>
    <s v="Vivaan Singh"/>
    <x v="2"/>
    <x v="3"/>
    <s v="Finance Book"/>
    <n v="3"/>
    <n v="549"/>
    <n v="10"/>
    <n v="164.7"/>
    <n v="1482.3"/>
    <x v="867"/>
    <s v="Net Banking"/>
    <s v="Returned"/>
  </r>
  <r>
    <s v="ORD0871"/>
    <d v="2023-09-24T00:00:00"/>
    <s v="CUST1445"/>
    <s v="Kavita Patel"/>
    <x v="2"/>
    <x v="1"/>
    <s v="Dal (1kg)"/>
    <n v="4"/>
    <n v="120"/>
    <n v="25"/>
    <n v="120"/>
    <n v="360"/>
    <x v="868"/>
    <s v="UPI"/>
    <s v="Delivered"/>
  </r>
  <r>
    <s v="ORD0872"/>
    <d v="2023-04-15T00:00:00"/>
    <s v="CUST1407"/>
    <s v="Kiran Singh"/>
    <x v="0"/>
    <x v="5"/>
    <s v="T-Shirt"/>
    <n v="2"/>
    <n v="499"/>
    <n v="20"/>
    <n v="199.6"/>
    <n v="798.4"/>
    <x v="869"/>
    <s v="Cash on Delivery"/>
    <s v="Returned"/>
  </r>
  <r>
    <s v="ORD0873"/>
    <d v="2023-06-09T00:00:00"/>
    <s v="CUST1310"/>
    <s v="Sneha Rao"/>
    <x v="6"/>
    <x v="5"/>
    <s v="Shoes"/>
    <n v="2"/>
    <n v="2499"/>
    <n v="5"/>
    <n v="249.9"/>
    <n v="4748.1000000000004"/>
    <x v="870"/>
    <s v="Net Banking"/>
    <s v="Returned"/>
  </r>
  <r>
    <s v="ORD0874"/>
    <d v="2023-11-22T00:00:00"/>
    <s v="CUST1184"/>
    <s v="Vijay Mehta"/>
    <x v="7"/>
    <x v="5"/>
    <s v="Kurta"/>
    <n v="4"/>
    <n v="799"/>
    <n v="0"/>
    <n v="0"/>
    <n v="3196"/>
    <x v="871"/>
    <s v="Cash on Delivery"/>
    <s v="Returned"/>
  </r>
  <r>
    <s v="ORD0875"/>
    <d v="2023-08-05T00:00:00"/>
    <s v="CUST1406"/>
    <s v="Kavita Sharma"/>
    <x v="1"/>
    <x v="6"/>
    <s v="Badminton Set"/>
    <n v="4"/>
    <n v="1500"/>
    <n v="5"/>
    <n v="300"/>
    <n v="5700"/>
    <x v="872"/>
    <s v="Cash on Delivery"/>
    <s v="Delivered"/>
  </r>
  <r>
    <s v="ORD0876"/>
    <d v="2023-06-03T00:00:00"/>
    <s v="CUST1131"/>
    <s v="Vijay Das"/>
    <x v="6"/>
    <x v="6"/>
    <s v="Badminton Set"/>
    <n v="2"/>
    <n v="1500"/>
    <n v="20"/>
    <n v="600"/>
    <n v="2400"/>
    <x v="873"/>
    <s v="Cash on Delivery"/>
    <s v="Delivered"/>
  </r>
  <r>
    <s v="ORD0877"/>
    <d v="2023-07-12T00:00:00"/>
    <s v="CUST1366"/>
    <s v="Kavita Iyer"/>
    <x v="7"/>
    <x v="6"/>
    <s v="Badminton Set"/>
    <n v="4"/>
    <n v="1500"/>
    <n v="0"/>
    <n v="0"/>
    <n v="6000"/>
    <x v="874"/>
    <s v="Credit Card"/>
    <s v="Delivered"/>
  </r>
  <r>
    <s v="ORD0878"/>
    <d v="2023-01-07T00:00:00"/>
    <s v="CUST1212"/>
    <s v="Vijay Shah"/>
    <x v="1"/>
    <x v="3"/>
    <s v="Business Analytics"/>
    <n v="3"/>
    <n v="699"/>
    <n v="15"/>
    <n v="314.55"/>
    <n v="1782.45"/>
    <x v="875"/>
    <s v="Cash on Delivery"/>
    <s v="Delivered"/>
  </r>
  <r>
    <s v="ORD0879"/>
    <d v="2023-11-25T00:00:00"/>
    <s v="CUST1063"/>
    <s v="Vijay Agarwal"/>
    <x v="7"/>
    <x v="6"/>
    <s v="Cricket Bat"/>
    <n v="4"/>
    <n v="2500"/>
    <n v="0"/>
    <n v="0"/>
    <n v="10000"/>
    <x v="876"/>
    <s v="Credit Card"/>
    <s v="Returned"/>
  </r>
  <r>
    <s v="ORD0880"/>
    <d v="2023-05-11T00:00:00"/>
    <s v="CUST1325"/>
    <s v="Pooja Verma"/>
    <x v="1"/>
    <x v="3"/>
    <s v="Novel"/>
    <n v="3"/>
    <n v="299"/>
    <n v="20"/>
    <n v="179.4"/>
    <n v="717.6"/>
    <x v="877"/>
    <s v="Cash on Delivery"/>
    <s v="Delivered"/>
  </r>
  <r>
    <s v="ORD0881"/>
    <d v="2023-05-05T00:00:00"/>
    <s v="CUST1014"/>
    <s v="Rohan Kumar"/>
    <x v="4"/>
    <x v="2"/>
    <s v="Office Chair"/>
    <n v="3"/>
    <n v="8500"/>
    <n v="25"/>
    <n v="6375"/>
    <n v="19125"/>
    <x v="878"/>
    <s v="Credit Card"/>
    <s v="Delivered"/>
  </r>
  <r>
    <s v="ORD0882"/>
    <d v="2023-05-07T00:00:00"/>
    <s v="CUST1047"/>
    <s v="Vijay Mehta"/>
    <x v="0"/>
    <x v="6"/>
    <s v="Badminton Set"/>
    <n v="2"/>
    <n v="1500"/>
    <n v="0"/>
    <n v="0"/>
    <n v="3000"/>
    <x v="879"/>
    <s v="Net Banking"/>
    <s v="Delivered"/>
  </r>
  <r>
    <s v="ORD0883"/>
    <d v="2023-08-05T00:00:00"/>
    <s v="CUST1256"/>
    <s v="Deepa Mehta"/>
    <x v="6"/>
    <x v="5"/>
    <s v="Sneakers"/>
    <n v="4"/>
    <n v="3499"/>
    <n v="10"/>
    <n v="1399.6"/>
    <n v="12596.4"/>
    <x v="880"/>
    <s v="Cash on Delivery"/>
    <s v="Delivered"/>
  </r>
  <r>
    <s v="ORD0884"/>
    <d v="2023-02-25T00:00:00"/>
    <s v="CUST1107"/>
    <s v="Vijay Rao"/>
    <x v="5"/>
    <x v="4"/>
    <s v="Foundation"/>
    <n v="3"/>
    <n v="850"/>
    <n v="5"/>
    <n v="127.5"/>
    <n v="2422.5"/>
    <x v="881"/>
    <s v="Credit Card"/>
    <s v="Returned"/>
  </r>
  <r>
    <s v="ORD0885"/>
    <d v="2023-01-01T00:00:00"/>
    <s v="CUST1147"/>
    <s v="Nisha Nair"/>
    <x v="7"/>
    <x v="0"/>
    <s v="Smartphone"/>
    <n v="4"/>
    <n v="18000"/>
    <n v="20"/>
    <n v="14400"/>
    <n v="57600"/>
    <x v="882"/>
    <s v="Debit Card"/>
    <s v="Delivered"/>
  </r>
  <r>
    <s v="ORD0886"/>
    <d v="2023-12-27T00:00:00"/>
    <s v="CUST1056"/>
    <s v="Arun Agarwal"/>
    <x v="2"/>
    <x v="5"/>
    <s v="Jeans"/>
    <n v="4"/>
    <n v="1299"/>
    <n v="5"/>
    <n v="259.8"/>
    <n v="4936.2"/>
    <x v="883"/>
    <s v="Credit Card"/>
    <s v="Delivered"/>
  </r>
  <r>
    <s v="ORD0887"/>
    <d v="2023-01-31T00:00:00"/>
    <s v="CUST1446"/>
    <s v="Nisha Das"/>
    <x v="0"/>
    <x v="4"/>
    <s v="Shampoo"/>
    <n v="2"/>
    <n v="300"/>
    <n v="10"/>
    <n v="60"/>
    <n v="540"/>
    <x v="583"/>
    <s v="Credit Card"/>
    <s v="Delivered"/>
  </r>
  <r>
    <s v="ORD0888"/>
    <d v="2023-05-31T00:00:00"/>
    <s v="CUST1015"/>
    <s v="Manish Singh"/>
    <x v="4"/>
    <x v="0"/>
    <s v="Smartwatch"/>
    <n v="1"/>
    <n v="8000"/>
    <n v="10"/>
    <n v="800"/>
    <n v="7200"/>
    <x v="884"/>
    <s v="Cash on Delivery"/>
    <s v="Delivered"/>
  </r>
  <r>
    <s v="ORD0889"/>
    <d v="2023-01-05T00:00:00"/>
    <s v="CUST1021"/>
    <s v="Diya Iyer"/>
    <x v="5"/>
    <x v="0"/>
    <s v="Earbuds"/>
    <n v="1"/>
    <n v="3500"/>
    <n v="25"/>
    <n v="875"/>
    <n v="2625"/>
    <x v="885"/>
    <s v="Cash on Delivery"/>
    <s v="Cancelled"/>
  </r>
  <r>
    <s v="ORD0890"/>
    <d v="2023-09-24T00:00:00"/>
    <s v="CUST1309"/>
    <s v="Nisha Joshi"/>
    <x v="3"/>
    <x v="3"/>
    <s v="Data Science 101"/>
    <n v="4"/>
    <n v="599"/>
    <n v="15"/>
    <n v="359.4"/>
    <n v="2036.6"/>
    <x v="886"/>
    <s v="Debit Card"/>
    <s v="Delivered"/>
  </r>
  <r>
    <s v="ORD0891"/>
    <d v="2023-05-03T00:00:00"/>
    <s v="CUST1499"/>
    <s v="Pooja Joshi"/>
    <x v="0"/>
    <x v="1"/>
    <s v="Tea Powder"/>
    <n v="4"/>
    <n v="250"/>
    <n v="15"/>
    <n v="150"/>
    <n v="850"/>
    <x v="887"/>
    <s v="UPI"/>
    <s v="Returned"/>
  </r>
  <r>
    <s v="ORD0892"/>
    <d v="2023-12-24T00:00:00"/>
    <s v="CUST1444"/>
    <s v="Suresh Kumar"/>
    <x v="2"/>
    <x v="2"/>
    <s v="Bed Frame"/>
    <n v="2"/>
    <n v="15000"/>
    <n v="0"/>
    <n v="0"/>
    <n v="30000"/>
    <x v="888"/>
    <s v="Debit Card"/>
    <s v="Returned"/>
  </r>
  <r>
    <s v="ORD0893"/>
    <d v="2023-11-13T00:00:00"/>
    <s v="CUST1096"/>
    <s v="Aarav Joshi"/>
    <x v="5"/>
    <x v="4"/>
    <s v="Perfume"/>
    <n v="4"/>
    <n v="1800"/>
    <n v="20"/>
    <n v="1440"/>
    <n v="5760"/>
    <x v="889"/>
    <s v="Debit Card"/>
    <s v="Delivered"/>
  </r>
  <r>
    <s v="ORD0894"/>
    <d v="2023-06-16T00:00:00"/>
    <s v="CUST1378"/>
    <s v="Anjali Patel"/>
    <x v="3"/>
    <x v="4"/>
    <s v="Lipstick"/>
    <n v="2"/>
    <n v="650"/>
    <n v="20"/>
    <n v="260"/>
    <n v="1040"/>
    <x v="890"/>
    <s v="Cash on Delivery"/>
    <s v="Returned"/>
  </r>
  <r>
    <s v="ORD0895"/>
    <d v="2023-12-04T00:00:00"/>
    <s v="CUST1310"/>
    <s v="Kiran Reddy"/>
    <x v="5"/>
    <x v="3"/>
    <s v="Finance Book"/>
    <n v="1"/>
    <n v="549"/>
    <n v="25"/>
    <n v="137.25"/>
    <n v="411.75"/>
    <x v="891"/>
    <s v="Credit Card"/>
    <s v="Returned"/>
  </r>
  <r>
    <s v="ORD0896"/>
    <d v="2023-02-14T00:00:00"/>
    <s v="CUST1228"/>
    <s v="Diya Bhat"/>
    <x v="2"/>
    <x v="1"/>
    <s v="Coffee"/>
    <n v="5"/>
    <n v="400"/>
    <n v="15"/>
    <n v="300"/>
    <n v="1700"/>
    <x v="892"/>
    <s v="Credit Card"/>
    <s v="Delivered"/>
  </r>
  <r>
    <s v="ORD0897"/>
    <d v="2023-03-29T00:00:00"/>
    <s v="CUST1366"/>
    <s v="Aarav Nair"/>
    <x v="3"/>
    <x v="3"/>
    <s v="Finance Book"/>
    <n v="1"/>
    <n v="549"/>
    <n v="0"/>
    <n v="0"/>
    <n v="549"/>
    <x v="893"/>
    <s v="Cash on Delivery"/>
    <s v="Delivered"/>
  </r>
  <r>
    <s v="ORD0898"/>
    <d v="2023-04-23T00:00:00"/>
    <s v="CUST1069"/>
    <s v="Deepa Bhat"/>
    <x v="0"/>
    <x v="4"/>
    <s v="Sunscreen"/>
    <n v="4"/>
    <n v="350"/>
    <n v="25"/>
    <n v="350"/>
    <n v="1050"/>
    <x v="894"/>
    <s v="Debit Card"/>
    <s v="Delivered"/>
  </r>
  <r>
    <s v="ORD0899"/>
    <d v="2023-10-22T00:00:00"/>
    <s v="CUST1466"/>
    <s v="Vijay Mishra"/>
    <x v="1"/>
    <x v="3"/>
    <s v="Business Analytics"/>
    <n v="1"/>
    <n v="699"/>
    <n v="25"/>
    <n v="174.75"/>
    <n v="524.25"/>
    <x v="895"/>
    <s v="Credit Card"/>
    <s v="Delivered"/>
  </r>
  <r>
    <s v="ORD0900"/>
    <d v="2023-05-13T00:00:00"/>
    <s v="CUST1379"/>
    <s v="Manish Iyer"/>
    <x v="0"/>
    <x v="0"/>
    <s v="Earbuds"/>
    <n v="1"/>
    <n v="3500"/>
    <n v="0"/>
    <n v="0"/>
    <n v="3500"/>
    <x v="896"/>
    <s v="Net Banking"/>
    <s v="Delivered"/>
  </r>
  <r>
    <s v="ORD0901"/>
    <d v="2023-03-07T00:00:00"/>
    <s v="CUST1159"/>
    <s v="Vivaan Agarwal"/>
    <x v="2"/>
    <x v="3"/>
    <s v="Data Science 101"/>
    <n v="4"/>
    <n v="599"/>
    <n v="20"/>
    <n v="479.2"/>
    <n v="1916.8"/>
    <x v="897"/>
    <s v="Cash on Delivery"/>
    <s v="Returned"/>
  </r>
  <r>
    <s v="ORD0902"/>
    <d v="2023-06-13T00:00:00"/>
    <s v="CUST1302"/>
    <s v="Sneha Gupta"/>
    <x v="1"/>
    <x v="3"/>
    <s v="Data Science 101"/>
    <n v="2"/>
    <n v="599"/>
    <n v="20"/>
    <n v="239.6"/>
    <n v="958.4"/>
    <x v="898"/>
    <s v="UPI"/>
    <s v="Cancelled"/>
  </r>
  <r>
    <s v="ORD0903"/>
    <d v="2023-08-24T00:00:00"/>
    <s v="CUST1233"/>
    <s v="Rohan Khanna"/>
    <x v="6"/>
    <x v="1"/>
    <s v="Dal (1kg)"/>
    <n v="3"/>
    <n v="120"/>
    <n v="5"/>
    <n v="18"/>
    <n v="342"/>
    <x v="899"/>
    <s v="Credit Card"/>
    <s v="Delivered"/>
  </r>
  <r>
    <s v="ORD0904"/>
    <d v="2023-11-03T00:00:00"/>
    <s v="CUST1434"/>
    <s v="Manish Bhat"/>
    <x v="2"/>
    <x v="1"/>
    <s v="Oil (1L)"/>
    <n v="5"/>
    <n v="180"/>
    <n v="25"/>
    <n v="225"/>
    <n v="675"/>
    <x v="900"/>
    <s v="Cash on Delivery"/>
    <s v="Delivered"/>
  </r>
  <r>
    <s v="ORD0905"/>
    <d v="2023-12-27T00:00:00"/>
    <s v="CUST1107"/>
    <s v="Sneha Verma"/>
    <x v="7"/>
    <x v="2"/>
    <s v="Office Chair"/>
    <n v="3"/>
    <n v="8500"/>
    <n v="5"/>
    <n v="1275"/>
    <n v="24225"/>
    <x v="901"/>
    <s v="Cash on Delivery"/>
    <s v="Returned"/>
  </r>
  <r>
    <s v="ORD0906"/>
    <d v="2023-06-03T00:00:00"/>
    <s v="CUST1172"/>
    <s v="Nisha Bhat"/>
    <x v="3"/>
    <x v="3"/>
    <s v="Finance Book"/>
    <n v="2"/>
    <n v="549"/>
    <n v="0"/>
    <n v="0"/>
    <n v="1098"/>
    <x v="902"/>
    <s v="Cash on Delivery"/>
    <s v="Returned"/>
  </r>
  <r>
    <s v="ORD0907"/>
    <d v="2023-02-06T00:00:00"/>
    <s v="CUST1099"/>
    <s v="Deepa Mehta"/>
    <x v="0"/>
    <x v="6"/>
    <s v="Cycle"/>
    <n v="3"/>
    <n v="12000"/>
    <n v="10"/>
    <n v="3600"/>
    <n v="32400"/>
    <x v="903"/>
    <s v="Credit Card"/>
    <s v="Delivered"/>
  </r>
  <r>
    <s v="ORD0908"/>
    <d v="2023-10-25T00:00:00"/>
    <s v="CUST1335"/>
    <s v="Priya Agarwal"/>
    <x v="7"/>
    <x v="3"/>
    <s v="Novel"/>
    <n v="1"/>
    <n v="299"/>
    <n v="25"/>
    <n v="74.75"/>
    <n v="224.25"/>
    <x v="904"/>
    <s v="Cash on Delivery"/>
    <s v="Returned"/>
  </r>
  <r>
    <s v="ORD0909"/>
    <d v="2023-05-30T00:00:00"/>
    <s v="CUST1333"/>
    <s v="Aarav Shah"/>
    <x v="0"/>
    <x v="5"/>
    <s v="Jeans"/>
    <n v="2"/>
    <n v="1299"/>
    <n v="25"/>
    <n v="649.5"/>
    <n v="1948.5"/>
    <x v="905"/>
    <s v="Credit Card"/>
    <s v="Returned"/>
  </r>
  <r>
    <s v="ORD0910"/>
    <d v="2023-08-07T00:00:00"/>
    <s v="CUST1498"/>
    <s v="Kavita Nair"/>
    <x v="5"/>
    <x v="4"/>
    <s v="Face Wash"/>
    <n v="2"/>
    <n v="250"/>
    <n v="0"/>
    <n v="0"/>
    <n v="500"/>
    <x v="906"/>
    <s v="UPI"/>
    <s v="Cancelled"/>
  </r>
  <r>
    <s v="ORD0911"/>
    <d v="2023-11-29T00:00:00"/>
    <s v="CUST1206"/>
    <s v="Sneha Verma"/>
    <x v="0"/>
    <x v="1"/>
    <s v="Sugar (2kg)"/>
    <n v="4"/>
    <n v="90"/>
    <n v="5"/>
    <n v="18"/>
    <n v="342"/>
    <x v="907"/>
    <s v="Credit Card"/>
    <s v="Returned"/>
  </r>
  <r>
    <s v="ORD0912"/>
    <d v="2023-09-08T00:00:00"/>
    <s v="CUST1192"/>
    <s v="Ananya Das"/>
    <x v="1"/>
    <x v="1"/>
    <s v="Tea Powder"/>
    <n v="5"/>
    <n v="250"/>
    <n v="5"/>
    <n v="62.5"/>
    <n v="1187.5"/>
    <x v="908"/>
    <s v="Debit Card"/>
    <s v="Returned"/>
  </r>
  <r>
    <s v="ORD0913"/>
    <d v="2023-07-08T00:00:00"/>
    <s v="CUST1328"/>
    <s v="Suresh Singh"/>
    <x v="5"/>
    <x v="0"/>
    <s v="Smartphone"/>
    <n v="1"/>
    <n v="18000"/>
    <n v="0"/>
    <n v="0"/>
    <n v="18000"/>
    <x v="909"/>
    <s v="Net Banking"/>
    <s v="Cancelled"/>
  </r>
  <r>
    <s v="ORD0914"/>
    <d v="2023-10-21T00:00:00"/>
    <s v="CUST1247"/>
    <s v="Nisha Rao"/>
    <x v="7"/>
    <x v="2"/>
    <s v="Bookshelf"/>
    <n v="1"/>
    <n v="4200"/>
    <n v="20"/>
    <n v="840"/>
    <n v="3360"/>
    <x v="910"/>
    <s v="UPI"/>
    <s v="Delivered"/>
  </r>
  <r>
    <s v="ORD0915"/>
    <d v="2023-02-02T00:00:00"/>
    <s v="CUST1358"/>
    <s v="Aarav Mehta"/>
    <x v="4"/>
    <x v="4"/>
    <s v="Face Wash"/>
    <n v="5"/>
    <n v="250"/>
    <n v="5"/>
    <n v="62.5"/>
    <n v="1187.5"/>
    <x v="911"/>
    <s v="UPI"/>
    <s v="Cancelled"/>
  </r>
  <r>
    <s v="ORD0916"/>
    <d v="2023-10-27T00:00:00"/>
    <s v="CUST1459"/>
    <s v="Diya Nair"/>
    <x v="7"/>
    <x v="6"/>
    <s v="Cycle"/>
    <n v="1"/>
    <n v="12000"/>
    <n v="5"/>
    <n v="600"/>
    <n v="11400"/>
    <x v="912"/>
    <s v="UPI"/>
    <s v="Cancelled"/>
  </r>
  <r>
    <s v="ORD0917"/>
    <d v="2023-08-17T00:00:00"/>
    <s v="CUST1105"/>
    <s v="Priya Patel"/>
    <x v="6"/>
    <x v="3"/>
    <s v="Data Science 101"/>
    <n v="1"/>
    <n v="599"/>
    <n v="0"/>
    <n v="0"/>
    <n v="599"/>
    <x v="913"/>
    <s v="UPI"/>
    <s v="Delivered"/>
  </r>
  <r>
    <s v="ORD0918"/>
    <d v="2023-03-05T00:00:00"/>
    <s v="CUST1500"/>
    <s v="Aarav Singh"/>
    <x v="6"/>
    <x v="6"/>
    <s v="Yoga Mat"/>
    <n v="3"/>
    <n v="700"/>
    <n v="20"/>
    <n v="420"/>
    <n v="1680"/>
    <x v="914"/>
    <s v="UPI"/>
    <s v="Cancelled"/>
  </r>
  <r>
    <s v="ORD0919"/>
    <d v="2023-05-31T00:00:00"/>
    <s v="CUST1355"/>
    <s v="Arjun Tiwari"/>
    <x v="3"/>
    <x v="4"/>
    <s v="Foundation"/>
    <n v="4"/>
    <n v="850"/>
    <n v="5"/>
    <n v="170"/>
    <n v="3230"/>
    <x v="915"/>
    <s v="Net Banking"/>
    <s v="Cancelled"/>
  </r>
  <r>
    <s v="ORD0920"/>
    <d v="2023-09-19T00:00:00"/>
    <s v="CUST1121"/>
    <s v="Vivaan Iyer"/>
    <x v="7"/>
    <x v="5"/>
    <s v="Shoes"/>
    <n v="1"/>
    <n v="2499"/>
    <n v="25"/>
    <n v="624.75"/>
    <n v="1874.25"/>
    <x v="916"/>
    <s v="Debit Card"/>
    <s v="Delivered"/>
  </r>
  <r>
    <s v="ORD0921"/>
    <d v="2023-03-10T00:00:00"/>
    <s v="CUST1065"/>
    <s v="Anjali Pillai"/>
    <x v="0"/>
    <x v="6"/>
    <s v="Badminton Set"/>
    <n v="2"/>
    <n v="1500"/>
    <n v="20"/>
    <n v="600"/>
    <n v="2400"/>
    <x v="917"/>
    <s v="Net Banking"/>
    <s v="Delivered"/>
  </r>
  <r>
    <s v="ORD0922"/>
    <d v="2023-05-14T00:00:00"/>
    <s v="CUST1483"/>
    <s v="Rahul Pillai"/>
    <x v="7"/>
    <x v="2"/>
    <s v="Bed Frame"/>
    <n v="2"/>
    <n v="15000"/>
    <n v="15"/>
    <n v="4500"/>
    <n v="25500"/>
    <x v="918"/>
    <s v="Net Banking"/>
    <s v="Delivered"/>
  </r>
  <r>
    <s v="ORD0923"/>
    <d v="2023-02-06T00:00:00"/>
    <s v="CUST1098"/>
    <s v="Pooja Agarwal"/>
    <x v="7"/>
    <x v="4"/>
    <s v="Perfume"/>
    <n v="3"/>
    <n v="1800"/>
    <n v="25"/>
    <n v="1350"/>
    <n v="4050"/>
    <x v="919"/>
    <s v="Cash on Delivery"/>
    <s v="Delivered"/>
  </r>
  <r>
    <s v="ORD0924"/>
    <d v="2023-06-11T00:00:00"/>
    <s v="CUST1126"/>
    <s v="Ananya Kumar"/>
    <x v="0"/>
    <x v="3"/>
    <s v="SQL Guide"/>
    <n v="4"/>
    <n v="449"/>
    <n v="0"/>
    <n v="0"/>
    <n v="1796"/>
    <x v="920"/>
    <s v="Net Banking"/>
    <s v="Delivered"/>
  </r>
  <r>
    <s v="ORD0925"/>
    <d v="2023-12-17T00:00:00"/>
    <s v="CUST1185"/>
    <s v="Arjun Kumar"/>
    <x v="7"/>
    <x v="6"/>
    <s v="Dumbbells"/>
    <n v="1"/>
    <n v="2200"/>
    <n v="10"/>
    <n v="220"/>
    <n v="1980"/>
    <x v="921"/>
    <s v="Credit Card"/>
    <s v="Delivered"/>
  </r>
  <r>
    <s v="ORD0926"/>
    <d v="2023-01-06T00:00:00"/>
    <s v="CUST1400"/>
    <s v="Diya Nair"/>
    <x v="6"/>
    <x v="0"/>
    <s v="Smartwatch"/>
    <n v="2"/>
    <n v="8000"/>
    <n v="15"/>
    <n v="2400"/>
    <n v="13600"/>
    <x v="922"/>
    <s v="Net Banking"/>
    <s v="Returned"/>
  </r>
  <r>
    <s v="ORD0927"/>
    <d v="2023-02-18T00:00:00"/>
    <s v="CUST1311"/>
    <s v="Diya Verma"/>
    <x v="7"/>
    <x v="6"/>
    <s v="Yoga Mat"/>
    <n v="5"/>
    <n v="700"/>
    <n v="10"/>
    <n v="350"/>
    <n v="3150"/>
    <x v="923"/>
    <s v="Debit Card"/>
    <s v="Returned"/>
  </r>
  <r>
    <s v="ORD0928"/>
    <d v="2023-04-03T00:00:00"/>
    <s v="CUST1435"/>
    <s v="Vijay Bhat"/>
    <x v="7"/>
    <x v="1"/>
    <s v="Coffee"/>
    <n v="5"/>
    <n v="400"/>
    <n v="20"/>
    <n v="400"/>
    <n v="1600"/>
    <x v="924"/>
    <s v="Debit Card"/>
    <s v="Delivered"/>
  </r>
  <r>
    <s v="ORD0929"/>
    <d v="2023-12-18T00:00:00"/>
    <s v="CUST1193"/>
    <s v="Manish Kumar"/>
    <x v="5"/>
    <x v="6"/>
    <s v="Cycle"/>
    <n v="2"/>
    <n v="12000"/>
    <n v="25"/>
    <n v="6000"/>
    <n v="18000"/>
    <x v="925"/>
    <s v="Debit Card"/>
    <s v="Delivered"/>
  </r>
  <r>
    <s v="ORD0930"/>
    <d v="2023-12-14T00:00:00"/>
    <s v="CUST1181"/>
    <s v="Arun Tiwari"/>
    <x v="6"/>
    <x v="6"/>
    <s v="Dumbbells"/>
    <n v="4"/>
    <n v="2200"/>
    <n v="5"/>
    <n v="440"/>
    <n v="8360"/>
    <x v="926"/>
    <s v="Debit Card"/>
    <s v="Returned"/>
  </r>
  <r>
    <s v="ORD0931"/>
    <d v="2023-09-24T00:00:00"/>
    <s v="CUST1044"/>
    <s v="Meera Pillai"/>
    <x v="3"/>
    <x v="4"/>
    <s v="Face Wash"/>
    <n v="2"/>
    <n v="250"/>
    <n v="10"/>
    <n v="50"/>
    <n v="450"/>
    <x v="927"/>
    <s v="UPI"/>
    <s v="Delivered"/>
  </r>
  <r>
    <s v="ORD0932"/>
    <d v="2023-02-09T00:00:00"/>
    <s v="CUST1043"/>
    <s v="Meera Mishra"/>
    <x v="4"/>
    <x v="4"/>
    <s v="Shampoo"/>
    <n v="1"/>
    <n v="300"/>
    <n v="5"/>
    <n v="15"/>
    <n v="285"/>
    <x v="928"/>
    <s v="UPI"/>
    <s v="Returned"/>
  </r>
  <r>
    <s v="ORD0933"/>
    <d v="2023-12-13T00:00:00"/>
    <s v="CUST1350"/>
    <s v="Deepa Gupta"/>
    <x v="1"/>
    <x v="6"/>
    <s v="Cycle"/>
    <n v="2"/>
    <n v="12000"/>
    <n v="15"/>
    <n v="3600"/>
    <n v="20400"/>
    <x v="929"/>
    <s v="UPI"/>
    <s v="Cancelled"/>
  </r>
  <r>
    <s v="ORD0934"/>
    <d v="2023-04-08T00:00:00"/>
    <s v="CUST1273"/>
    <s v="Pooja Singh"/>
    <x v="5"/>
    <x v="3"/>
    <s v="Finance Book"/>
    <n v="1"/>
    <n v="549"/>
    <n v="25"/>
    <n v="137.25"/>
    <n v="411.75"/>
    <x v="930"/>
    <s v="Net Banking"/>
    <s v="Returned"/>
  </r>
  <r>
    <s v="ORD0935"/>
    <d v="2023-03-28T00:00:00"/>
    <s v="CUST1187"/>
    <s v="Rohan Tiwari"/>
    <x v="3"/>
    <x v="4"/>
    <s v="Face Wash"/>
    <n v="5"/>
    <n v="250"/>
    <n v="5"/>
    <n v="62.5"/>
    <n v="1187.5"/>
    <x v="931"/>
    <s v="UPI"/>
    <s v="Returned"/>
  </r>
  <r>
    <s v="ORD0936"/>
    <d v="2023-09-11T00:00:00"/>
    <s v="CUST1347"/>
    <s v="Sneha Mishra"/>
    <x v="0"/>
    <x v="2"/>
    <s v="Study Table"/>
    <n v="3"/>
    <n v="6500"/>
    <n v="0"/>
    <n v="0"/>
    <n v="19500"/>
    <x v="932"/>
    <s v="Debit Card"/>
    <s v="Delivered"/>
  </r>
  <r>
    <s v="ORD0937"/>
    <d v="2023-09-05T00:00:00"/>
    <s v="CUST1291"/>
    <s v="Vijay Iyer"/>
    <x v="6"/>
    <x v="1"/>
    <s v="Oil (1L)"/>
    <n v="2"/>
    <n v="180"/>
    <n v="0"/>
    <n v="0"/>
    <n v="360"/>
    <x v="933"/>
    <s v="Net Banking"/>
    <s v="Delivered"/>
  </r>
  <r>
    <s v="ORD0938"/>
    <d v="2023-08-26T00:00:00"/>
    <s v="CUST1315"/>
    <s v="Arun Joshi"/>
    <x v="6"/>
    <x v="6"/>
    <s v="Running Shoes"/>
    <n v="4"/>
    <n v="3500"/>
    <n v="0"/>
    <n v="0"/>
    <n v="14000"/>
    <x v="934"/>
    <s v="Debit Card"/>
    <s v="Delivered"/>
  </r>
  <r>
    <s v="ORD0939"/>
    <d v="2023-01-03T00:00:00"/>
    <s v="CUST1051"/>
    <s v="Nisha Bhat"/>
    <x v="2"/>
    <x v="1"/>
    <s v="Tea Powder"/>
    <n v="2"/>
    <n v="250"/>
    <n v="15"/>
    <n v="75"/>
    <n v="425"/>
    <x v="935"/>
    <s v="UPI"/>
    <s v="Cancelled"/>
  </r>
  <r>
    <s v="ORD0940"/>
    <d v="2023-09-21T00:00:00"/>
    <s v="CUST1393"/>
    <s v="Rahul Singh"/>
    <x v="4"/>
    <x v="5"/>
    <s v="Saree"/>
    <n v="1"/>
    <n v="2500"/>
    <n v="15"/>
    <n v="375"/>
    <n v="2125"/>
    <x v="936"/>
    <s v="Cash on Delivery"/>
    <s v="Delivered"/>
  </r>
  <r>
    <s v="ORD0941"/>
    <d v="2023-06-03T00:00:00"/>
    <s v="CUST1055"/>
    <s v="Arun Das"/>
    <x v="7"/>
    <x v="1"/>
    <s v="Atta (10kg)"/>
    <n v="2"/>
    <n v="450"/>
    <n v="20"/>
    <n v="180"/>
    <n v="720"/>
    <x v="937"/>
    <s v="Credit Card"/>
    <s v="Delivered"/>
  </r>
  <r>
    <s v="ORD0942"/>
    <d v="2023-08-11T00:00:00"/>
    <s v="CUST1020"/>
    <s v="Rohan Mehta"/>
    <x v="1"/>
    <x v="0"/>
    <s v="Earbuds"/>
    <n v="2"/>
    <n v="3500"/>
    <n v="0"/>
    <n v="0"/>
    <n v="7000"/>
    <x v="938"/>
    <s v="Debit Card"/>
    <s v="Delivered"/>
  </r>
  <r>
    <s v="ORD0943"/>
    <d v="2023-03-24T00:00:00"/>
    <s v="CUST1060"/>
    <s v="Nisha Bhat"/>
    <x v="4"/>
    <x v="4"/>
    <s v="Shampoo"/>
    <n v="4"/>
    <n v="300"/>
    <n v="25"/>
    <n v="300"/>
    <n v="900"/>
    <x v="939"/>
    <s v="Credit Card"/>
    <s v="Delivered"/>
  </r>
  <r>
    <s v="ORD0944"/>
    <d v="2023-07-24T00:00:00"/>
    <s v="CUST1055"/>
    <s v="Aarav Reddy"/>
    <x v="7"/>
    <x v="6"/>
    <s v="Cycle"/>
    <n v="4"/>
    <n v="12000"/>
    <n v="5"/>
    <n v="2400"/>
    <n v="45600"/>
    <x v="940"/>
    <s v="Debit Card"/>
    <s v="Cancelled"/>
  </r>
  <r>
    <s v="ORD0945"/>
    <d v="2023-01-07T00:00:00"/>
    <s v="CUST1175"/>
    <s v="Nisha Khanna"/>
    <x v="5"/>
    <x v="3"/>
    <s v="Finance Book"/>
    <n v="2"/>
    <n v="549"/>
    <n v="0"/>
    <n v="0"/>
    <n v="1098"/>
    <x v="941"/>
    <s v="Cash on Delivery"/>
    <s v="Returned"/>
  </r>
  <r>
    <s v="ORD0946"/>
    <d v="2023-05-29T00:00:00"/>
    <s v="CUST1078"/>
    <s v="Suresh Nair"/>
    <x v="2"/>
    <x v="1"/>
    <s v="Atta (10kg)"/>
    <n v="1"/>
    <n v="450"/>
    <n v="15"/>
    <n v="67.5"/>
    <n v="382.5"/>
    <x v="91"/>
    <s v="Debit Card"/>
    <s v="Delivered"/>
  </r>
  <r>
    <s v="ORD0947"/>
    <d v="2023-05-15T00:00:00"/>
    <s v="CUST1400"/>
    <s v="Diya Tiwari"/>
    <x v="7"/>
    <x v="4"/>
    <s v="Shampoo"/>
    <n v="4"/>
    <n v="300"/>
    <n v="5"/>
    <n v="60"/>
    <n v="1140"/>
    <x v="942"/>
    <s v="Credit Card"/>
    <s v="Cancelled"/>
  </r>
  <r>
    <s v="ORD0948"/>
    <d v="2023-11-19T00:00:00"/>
    <s v="CUST1019"/>
    <s v="Rahul Iyer"/>
    <x v="7"/>
    <x v="4"/>
    <s v="Shampoo"/>
    <n v="2"/>
    <n v="300"/>
    <n v="0"/>
    <n v="0"/>
    <n v="600"/>
    <x v="943"/>
    <s v="Cash on Delivery"/>
    <s v="Delivered"/>
  </r>
  <r>
    <s v="ORD0949"/>
    <d v="2023-11-12T00:00:00"/>
    <s v="CUST1156"/>
    <s v="Sneha Singh"/>
    <x v="3"/>
    <x v="5"/>
    <s v="T-Shirt"/>
    <n v="1"/>
    <n v="499"/>
    <n v="15"/>
    <n v="74.849999999999994"/>
    <n v="424.15"/>
    <x v="944"/>
    <s v="Cash on Delivery"/>
    <s v="Returned"/>
  </r>
  <r>
    <s v="ORD0950"/>
    <d v="2023-02-01T00:00:00"/>
    <s v="CUST1186"/>
    <s v="Rahul Shah"/>
    <x v="1"/>
    <x v="6"/>
    <s v="Dumbbells"/>
    <n v="1"/>
    <n v="2200"/>
    <n v="10"/>
    <n v="220"/>
    <n v="1980"/>
    <x v="945"/>
    <s v="Credit Card"/>
    <s v="Delivered"/>
  </r>
  <r>
    <s v="ORD0951"/>
    <d v="2023-01-25T00:00:00"/>
    <s v="CUST1164"/>
    <s v="Kiran Rao"/>
    <x v="4"/>
    <x v="5"/>
    <s v="T-Shirt"/>
    <n v="1"/>
    <n v="499"/>
    <n v="0"/>
    <n v="0"/>
    <n v="499"/>
    <x v="946"/>
    <s v="Debit Card"/>
    <s v="Cancelled"/>
  </r>
  <r>
    <s v="ORD0952"/>
    <d v="2023-02-21T00:00:00"/>
    <s v="CUST1155"/>
    <s v="Diya Gupta"/>
    <x v="5"/>
    <x v="2"/>
    <s v="Study Table"/>
    <n v="3"/>
    <n v="6500"/>
    <n v="15"/>
    <n v="2925"/>
    <n v="16575"/>
    <x v="947"/>
    <s v="Net Banking"/>
    <s v="Delivered"/>
  </r>
  <r>
    <s v="ORD0953"/>
    <d v="2023-06-19T00:00:00"/>
    <s v="CUST1270"/>
    <s v="Anjali Shah"/>
    <x v="2"/>
    <x v="1"/>
    <s v="Tea Powder"/>
    <n v="3"/>
    <n v="250"/>
    <n v="25"/>
    <n v="187.5"/>
    <n v="562.5"/>
    <x v="948"/>
    <s v="Debit Card"/>
    <s v="Delivered"/>
  </r>
  <r>
    <s v="ORD0954"/>
    <d v="2023-10-27T00:00:00"/>
    <s v="CUST1308"/>
    <s v="Diya Verma"/>
    <x v="2"/>
    <x v="2"/>
    <s v="Office Chair"/>
    <n v="1"/>
    <n v="8500"/>
    <n v="5"/>
    <n v="425"/>
    <n v="8075"/>
    <x v="949"/>
    <s v="Credit Card"/>
    <s v="Returned"/>
  </r>
  <r>
    <s v="ORD0955"/>
    <d v="2023-02-20T00:00:00"/>
    <s v="CUST1242"/>
    <s v="Kiran Mishra"/>
    <x v="7"/>
    <x v="0"/>
    <s v="Tablet"/>
    <n v="5"/>
    <n v="22000"/>
    <n v="10"/>
    <n v="11000"/>
    <n v="99000"/>
    <x v="950"/>
    <s v="UPI"/>
    <s v="Delivered"/>
  </r>
  <r>
    <s v="ORD0956"/>
    <d v="2023-04-09T00:00:00"/>
    <s v="CUST1458"/>
    <s v="Pooja Das"/>
    <x v="0"/>
    <x v="2"/>
    <s v="Sofa"/>
    <n v="3"/>
    <n v="25000"/>
    <n v="20"/>
    <n v="15000"/>
    <n v="60000"/>
    <x v="951"/>
    <s v="Cash on Delivery"/>
    <s v="Delivered"/>
  </r>
  <r>
    <s v="ORD0957"/>
    <d v="2023-09-05T00:00:00"/>
    <s v="CUST1140"/>
    <s v="Rohan Rao"/>
    <x v="5"/>
    <x v="2"/>
    <s v="Sofa"/>
    <n v="5"/>
    <n v="25000"/>
    <n v="0"/>
    <n v="0"/>
    <n v="125000"/>
    <x v="952"/>
    <s v="Net Banking"/>
    <s v="Delivered"/>
  </r>
  <r>
    <s v="ORD0958"/>
    <d v="2023-12-22T00:00:00"/>
    <s v="CUST1445"/>
    <s v="Suresh Patel"/>
    <x v="7"/>
    <x v="5"/>
    <s v="Shoes"/>
    <n v="4"/>
    <n v="2499"/>
    <n v="15"/>
    <n v="1499.4"/>
    <n v="8496.6"/>
    <x v="953"/>
    <s v="Cash on Delivery"/>
    <s v="Cancelled"/>
  </r>
  <r>
    <s v="ORD0959"/>
    <d v="2023-07-16T00:00:00"/>
    <s v="CUST1105"/>
    <s v="Priya Sharma"/>
    <x v="7"/>
    <x v="6"/>
    <s v="Running Shoes"/>
    <n v="4"/>
    <n v="3500"/>
    <n v="15"/>
    <n v="2100"/>
    <n v="11900"/>
    <x v="954"/>
    <s v="Net Banking"/>
    <s v="Delivered"/>
  </r>
  <r>
    <s v="ORD0960"/>
    <d v="2023-10-31T00:00:00"/>
    <s v="CUST1368"/>
    <s v="Suresh Kumar"/>
    <x v="6"/>
    <x v="4"/>
    <s v="Moisturizer"/>
    <n v="5"/>
    <n v="450"/>
    <n v="15"/>
    <n v="337.5"/>
    <n v="1912.5"/>
    <x v="955"/>
    <s v="Credit Card"/>
    <s v="Delivered"/>
  </r>
  <r>
    <s v="ORD0961"/>
    <d v="2023-12-29T00:00:00"/>
    <s v="CUST1273"/>
    <s v="Sneha Rao"/>
    <x v="5"/>
    <x v="1"/>
    <s v="Sugar (2kg)"/>
    <n v="1"/>
    <n v="90"/>
    <n v="5"/>
    <n v="4.5"/>
    <n v="85.5"/>
    <x v="956"/>
    <s v="Credit Card"/>
    <s v="Delivered"/>
  </r>
  <r>
    <s v="ORD0962"/>
    <d v="2023-03-10T00:00:00"/>
    <s v="CUST1421"/>
    <s v="Kiran Mishra"/>
    <x v="0"/>
    <x v="1"/>
    <s v="Coffee"/>
    <n v="1"/>
    <n v="400"/>
    <n v="25"/>
    <n v="100"/>
    <n v="300"/>
    <x v="957"/>
    <s v="UPI"/>
    <s v="Delivered"/>
  </r>
  <r>
    <s v="ORD0963"/>
    <d v="2023-11-20T00:00:00"/>
    <s v="CUST1452"/>
    <s v="Deepa Kumar"/>
    <x v="7"/>
    <x v="6"/>
    <s v="Yoga Mat"/>
    <n v="3"/>
    <n v="700"/>
    <n v="0"/>
    <n v="0"/>
    <n v="2100"/>
    <x v="958"/>
    <s v="Cash on Delivery"/>
    <s v="Cancelled"/>
  </r>
  <r>
    <s v="ORD0964"/>
    <d v="2023-05-31T00:00:00"/>
    <s v="CUST1494"/>
    <s v="Rahul Nair"/>
    <x v="6"/>
    <x v="1"/>
    <s v="Rice (5kg)"/>
    <n v="1"/>
    <n v="350"/>
    <n v="10"/>
    <n v="35"/>
    <n v="315"/>
    <x v="959"/>
    <s v="UPI"/>
    <s v="Cancelled"/>
  </r>
  <r>
    <s v="ORD0965"/>
    <d v="2023-12-03T00:00:00"/>
    <s v="CUST1352"/>
    <s v="Vijay Kumar"/>
    <x v="2"/>
    <x v="3"/>
    <s v="Novel"/>
    <n v="5"/>
    <n v="299"/>
    <n v="0"/>
    <n v="0"/>
    <n v="1495"/>
    <x v="960"/>
    <s v="Cash on Delivery"/>
    <s v="Delivered"/>
  </r>
  <r>
    <s v="ORD0966"/>
    <d v="2023-06-16T00:00:00"/>
    <s v="CUST1385"/>
    <s v="Vijay Reddy"/>
    <x v="4"/>
    <x v="1"/>
    <s v="Dal (1kg)"/>
    <n v="5"/>
    <n v="120"/>
    <n v="25"/>
    <n v="150"/>
    <n v="450"/>
    <x v="961"/>
    <s v="Credit Card"/>
    <s v="Returned"/>
  </r>
  <r>
    <s v="ORD0967"/>
    <d v="2023-07-08T00:00:00"/>
    <s v="CUST1094"/>
    <s v="Priya Iyer"/>
    <x v="4"/>
    <x v="5"/>
    <s v="Saree"/>
    <n v="1"/>
    <n v="2500"/>
    <n v="15"/>
    <n v="375"/>
    <n v="2125"/>
    <x v="962"/>
    <s v="Credit Card"/>
    <s v="Delivered"/>
  </r>
  <r>
    <s v="ORD0968"/>
    <d v="2023-01-11T00:00:00"/>
    <s v="CUST1096"/>
    <s v="Ananya Reddy"/>
    <x v="0"/>
    <x v="1"/>
    <s v="Dal (1kg)"/>
    <n v="2"/>
    <n v="120"/>
    <n v="15"/>
    <n v="36"/>
    <n v="204"/>
    <x v="963"/>
    <s v="Cash on Delivery"/>
    <s v="Delivered"/>
  </r>
  <r>
    <s v="ORD0969"/>
    <d v="2023-08-21T00:00:00"/>
    <s v="CUST1372"/>
    <s v="Aarav Khanna"/>
    <x v="0"/>
    <x v="4"/>
    <s v="Lipstick"/>
    <n v="1"/>
    <n v="650"/>
    <n v="25"/>
    <n v="162.5"/>
    <n v="487.5"/>
    <x v="964"/>
    <s v="Cash on Delivery"/>
    <s v="Returned"/>
  </r>
  <r>
    <s v="ORD0970"/>
    <d v="2023-01-11T00:00:00"/>
    <s v="CUST1067"/>
    <s v="Sneha Patel"/>
    <x v="6"/>
    <x v="0"/>
    <s v="Speaker"/>
    <n v="1"/>
    <n v="4500"/>
    <n v="25"/>
    <n v="1125"/>
    <n v="3375"/>
    <x v="965"/>
    <s v="Credit Card"/>
    <s v="Cancelled"/>
  </r>
  <r>
    <s v="ORD0971"/>
    <d v="2023-01-07T00:00:00"/>
    <s v="CUST1173"/>
    <s v="Ananya Iyer"/>
    <x v="7"/>
    <x v="3"/>
    <s v="Python Basics"/>
    <n v="1"/>
    <n v="499"/>
    <n v="20"/>
    <n v="99.8"/>
    <n v="399.2"/>
    <x v="966"/>
    <s v="Cash on Delivery"/>
    <s v="Cancelled"/>
  </r>
  <r>
    <s v="ORD0972"/>
    <d v="2023-08-16T00:00:00"/>
    <s v="CUST1124"/>
    <s v="Vivaan Mishra"/>
    <x v="6"/>
    <x v="3"/>
    <s v="Excel Mastery"/>
    <n v="3"/>
    <n v="399"/>
    <n v="10"/>
    <n v="119.7"/>
    <n v="1077.3"/>
    <x v="967"/>
    <s v="Net Banking"/>
    <s v="Delivered"/>
  </r>
  <r>
    <s v="ORD0973"/>
    <d v="2023-01-11T00:00:00"/>
    <s v="CUST1261"/>
    <s v="Nisha Reddy"/>
    <x v="5"/>
    <x v="3"/>
    <s v="Python Basics"/>
    <n v="1"/>
    <n v="499"/>
    <n v="20"/>
    <n v="99.8"/>
    <n v="399.2"/>
    <x v="968"/>
    <s v="Credit Card"/>
    <s v="Delivered"/>
  </r>
  <r>
    <s v="ORD0974"/>
    <d v="2023-04-27T00:00:00"/>
    <s v="CUST1115"/>
    <s v="Vijay Gupta"/>
    <x v="4"/>
    <x v="2"/>
    <s v="Wardrobe"/>
    <n v="2"/>
    <n v="18000"/>
    <n v="10"/>
    <n v="3600"/>
    <n v="32400"/>
    <x v="969"/>
    <s v="Credit Card"/>
    <s v="Delivered"/>
  </r>
  <r>
    <s v="ORD0975"/>
    <d v="2023-04-25T00:00:00"/>
    <s v="CUST1060"/>
    <s v="Pooja Patel"/>
    <x v="5"/>
    <x v="0"/>
    <s v="Earbuds"/>
    <n v="3"/>
    <n v="3500"/>
    <n v="0"/>
    <n v="0"/>
    <n v="10500"/>
    <x v="970"/>
    <s v="Net Banking"/>
    <s v="Delivered"/>
  </r>
  <r>
    <s v="ORD0976"/>
    <d v="2023-04-02T00:00:00"/>
    <s v="CUST1217"/>
    <s v="Rohan Rao"/>
    <x v="6"/>
    <x v="2"/>
    <s v="Sofa"/>
    <n v="3"/>
    <n v="25000"/>
    <n v="20"/>
    <n v="15000"/>
    <n v="60000"/>
    <x v="971"/>
    <s v="Debit Card"/>
    <s v="Delivered"/>
  </r>
  <r>
    <s v="ORD0977"/>
    <d v="2023-05-19T00:00:00"/>
    <s v="CUST1364"/>
    <s v="Ananya Sharma"/>
    <x v="7"/>
    <x v="2"/>
    <s v="Bed Frame"/>
    <n v="3"/>
    <n v="15000"/>
    <n v="10"/>
    <n v="4500"/>
    <n v="40500"/>
    <x v="972"/>
    <s v="Credit Card"/>
    <s v="Delivered"/>
  </r>
  <r>
    <s v="ORD0978"/>
    <d v="2023-03-17T00:00:00"/>
    <s v="CUST1218"/>
    <s v="Rahul Reddy"/>
    <x v="0"/>
    <x v="2"/>
    <s v="Wardrobe"/>
    <n v="4"/>
    <n v="18000"/>
    <n v="0"/>
    <n v="0"/>
    <n v="72000"/>
    <x v="973"/>
    <s v="Debit Card"/>
    <s v="Delivered"/>
  </r>
  <r>
    <s v="ORD0979"/>
    <d v="2023-04-04T00:00:00"/>
    <s v="CUST1246"/>
    <s v="Nisha Khanna"/>
    <x v="3"/>
    <x v="3"/>
    <s v="SQL Guide"/>
    <n v="3"/>
    <n v="449"/>
    <n v="10"/>
    <n v="134.69999999999999"/>
    <n v="1212.3"/>
    <x v="974"/>
    <s v="Credit Card"/>
    <s v="Delivered"/>
  </r>
  <r>
    <s v="ORD0980"/>
    <d v="2023-07-16T00:00:00"/>
    <s v="CUST1272"/>
    <s v="Deepa Singh"/>
    <x v="1"/>
    <x v="2"/>
    <s v="Sofa"/>
    <n v="4"/>
    <n v="25000"/>
    <n v="20"/>
    <n v="20000"/>
    <n v="80000"/>
    <x v="975"/>
    <s v="UPI"/>
    <s v="Cancelled"/>
  </r>
  <r>
    <s v="ORD0981"/>
    <d v="2023-08-04T00:00:00"/>
    <s v="CUST1185"/>
    <s v="Aarav Iyer"/>
    <x v="5"/>
    <x v="6"/>
    <s v="Badminton Set"/>
    <n v="2"/>
    <n v="1500"/>
    <n v="25"/>
    <n v="750"/>
    <n v="2250"/>
    <x v="976"/>
    <s v="Debit Card"/>
    <s v="Cancelled"/>
  </r>
  <r>
    <s v="ORD0982"/>
    <d v="2023-08-31T00:00:00"/>
    <s v="CUST1434"/>
    <s v="Rohan Rao"/>
    <x v="4"/>
    <x v="5"/>
    <s v="T-Shirt"/>
    <n v="1"/>
    <n v="499"/>
    <n v="10"/>
    <n v="49.9"/>
    <n v="449.1"/>
    <x v="977"/>
    <s v="Credit Card"/>
    <s v="Cancelled"/>
  </r>
  <r>
    <s v="ORD0983"/>
    <d v="2023-08-04T00:00:00"/>
    <s v="CUST1060"/>
    <s v="Rohan Mehta"/>
    <x v="5"/>
    <x v="5"/>
    <s v="Jeans"/>
    <n v="2"/>
    <n v="1299"/>
    <n v="0"/>
    <n v="0"/>
    <n v="2598"/>
    <x v="978"/>
    <s v="Cash on Delivery"/>
    <s v="Delivered"/>
  </r>
  <r>
    <s v="ORD0984"/>
    <d v="2023-01-28T00:00:00"/>
    <s v="CUST1304"/>
    <s v="Priya Sharma"/>
    <x v="7"/>
    <x v="4"/>
    <s v="Moisturizer"/>
    <n v="5"/>
    <n v="450"/>
    <n v="0"/>
    <n v="0"/>
    <n v="2250"/>
    <x v="979"/>
    <s v="Debit Card"/>
    <s v="Delivered"/>
  </r>
  <r>
    <s v="ORD0985"/>
    <d v="2023-02-10T00:00:00"/>
    <s v="CUST1213"/>
    <s v="Rohan Nair"/>
    <x v="4"/>
    <x v="5"/>
    <s v="T-Shirt"/>
    <n v="1"/>
    <n v="499"/>
    <n v="20"/>
    <n v="99.8"/>
    <n v="399.2"/>
    <x v="980"/>
    <s v="Credit Card"/>
    <s v="Cancelled"/>
  </r>
  <r>
    <s v="ORD0986"/>
    <d v="2023-12-24T00:00:00"/>
    <s v="CUST1400"/>
    <s v="Aarav Rao"/>
    <x v="0"/>
    <x v="1"/>
    <s v="Atta (10kg)"/>
    <n v="4"/>
    <n v="450"/>
    <n v="25"/>
    <n v="450"/>
    <n v="1350"/>
    <x v="981"/>
    <s v="Credit Card"/>
    <s v="Delivered"/>
  </r>
  <r>
    <s v="ORD0987"/>
    <d v="2023-11-25T00:00:00"/>
    <s v="CUST1202"/>
    <s v="Nisha Das"/>
    <x v="6"/>
    <x v="0"/>
    <s v="Tablet"/>
    <n v="2"/>
    <n v="22000"/>
    <n v="20"/>
    <n v="8800"/>
    <n v="35200"/>
    <x v="982"/>
    <s v="Net Banking"/>
    <s v="Cancelled"/>
  </r>
  <r>
    <s v="ORD0988"/>
    <d v="2023-06-06T00:00:00"/>
    <s v="CUST1047"/>
    <s v="Suresh Mehta"/>
    <x v="7"/>
    <x v="4"/>
    <s v="Shampoo"/>
    <n v="4"/>
    <n v="300"/>
    <n v="5"/>
    <n v="60"/>
    <n v="1140"/>
    <x v="983"/>
    <s v="Credit Card"/>
    <s v="Returned"/>
  </r>
  <r>
    <s v="ORD0989"/>
    <d v="2023-11-13T00:00:00"/>
    <s v="CUST1499"/>
    <s v="Deepa Khanna"/>
    <x v="0"/>
    <x v="0"/>
    <s v="Laptop"/>
    <n v="4"/>
    <n v="55000"/>
    <n v="5"/>
    <n v="11000"/>
    <n v="209000"/>
    <x v="984"/>
    <s v="Cash on Delivery"/>
    <s v="Returned"/>
  </r>
  <r>
    <s v="ORD0990"/>
    <d v="2023-06-10T00:00:00"/>
    <s v="CUST1411"/>
    <s v="Pooja Pillai"/>
    <x v="2"/>
    <x v="4"/>
    <s v="Perfume"/>
    <n v="4"/>
    <n v="1800"/>
    <n v="15"/>
    <n v="1080"/>
    <n v="6120"/>
    <x v="985"/>
    <s v="Debit Card"/>
    <s v="Delivered"/>
  </r>
  <r>
    <s v="ORD0991"/>
    <d v="2023-02-23T00:00:00"/>
    <s v="CUST1144"/>
    <s v="Priya Mishra"/>
    <x v="0"/>
    <x v="0"/>
    <s v="Earbuds"/>
    <n v="5"/>
    <n v="3500"/>
    <n v="10"/>
    <n v="1750"/>
    <n v="15750"/>
    <x v="986"/>
    <s v="UPI"/>
    <s v="Delivered"/>
  </r>
  <r>
    <s v="ORD0992"/>
    <d v="2023-11-02T00:00:00"/>
    <s v="CUST1326"/>
    <s v="Vivaan Singh"/>
    <x v="6"/>
    <x v="0"/>
    <s v="Speaker"/>
    <n v="3"/>
    <n v="4500"/>
    <n v="5"/>
    <n v="675"/>
    <n v="12825"/>
    <x v="987"/>
    <s v="UPI"/>
    <s v="Cancelled"/>
  </r>
  <r>
    <s v="ORD0993"/>
    <d v="2023-10-17T00:00:00"/>
    <s v="CUST1047"/>
    <s v="Meera Sharma"/>
    <x v="3"/>
    <x v="0"/>
    <s v="Tablet"/>
    <n v="4"/>
    <n v="22000"/>
    <n v="0"/>
    <n v="0"/>
    <n v="88000"/>
    <x v="988"/>
    <s v="Debit Card"/>
    <s v="Returned"/>
  </r>
  <r>
    <s v="ORD0994"/>
    <d v="2023-09-14T00:00:00"/>
    <s v="CUST1066"/>
    <s v="Diya Joshi"/>
    <x v="1"/>
    <x v="5"/>
    <s v="Kurta"/>
    <n v="4"/>
    <n v="799"/>
    <n v="25"/>
    <n v="799"/>
    <n v="2397"/>
    <x v="989"/>
    <s v="Net Banking"/>
    <s v="Delivered"/>
  </r>
  <r>
    <s v="ORD0995"/>
    <d v="2023-09-15T00:00:00"/>
    <s v="CUST1195"/>
    <s v="Kavita Agarwal"/>
    <x v="5"/>
    <x v="3"/>
    <s v="Novel"/>
    <n v="2"/>
    <n v="299"/>
    <n v="0"/>
    <n v="0"/>
    <n v="598"/>
    <x v="990"/>
    <s v="Debit Card"/>
    <s v="Delivered"/>
  </r>
  <r>
    <s v="ORD0996"/>
    <d v="2023-03-19T00:00:00"/>
    <s v="CUST1367"/>
    <s v="Sneha Iyer"/>
    <x v="7"/>
    <x v="4"/>
    <s v="Lipstick"/>
    <n v="1"/>
    <n v="650"/>
    <n v="25"/>
    <n v="162.5"/>
    <n v="487.5"/>
    <x v="991"/>
    <s v="Credit Card"/>
    <s v="Cancelled"/>
  </r>
  <r>
    <s v="ORD0997"/>
    <d v="2023-09-22T00:00:00"/>
    <s v="CUST1067"/>
    <s v="Arjun Rao"/>
    <x v="3"/>
    <x v="4"/>
    <s v="Foundation"/>
    <n v="5"/>
    <n v="850"/>
    <n v="10"/>
    <n v="425"/>
    <n v="3825"/>
    <x v="992"/>
    <s v="Net Banking"/>
    <s v="Returned"/>
  </r>
  <r>
    <s v="ORD0998"/>
    <d v="2023-01-21T00:00:00"/>
    <s v="CUST1312"/>
    <s v="Anjali Patel"/>
    <x v="7"/>
    <x v="4"/>
    <s v="Face Wash"/>
    <n v="4"/>
    <n v="250"/>
    <n v="5"/>
    <n v="50"/>
    <n v="950"/>
    <x v="993"/>
    <s v="Net Banking"/>
    <s v="Returned"/>
  </r>
  <r>
    <s v="ORD0999"/>
    <d v="2023-02-19T00:00:00"/>
    <s v="CUST1496"/>
    <s v="Ananya Bhat"/>
    <x v="0"/>
    <x v="3"/>
    <s v="Python Basics"/>
    <n v="2"/>
    <n v="499"/>
    <n v="10"/>
    <n v="99.8"/>
    <n v="898.2"/>
    <x v="994"/>
    <s v="Cash on Delivery"/>
    <s v="Delivered"/>
  </r>
  <r>
    <s v="ORD1000"/>
    <d v="2023-03-28T00:00:00"/>
    <s v="CUST1180"/>
    <s v="Ananya Patel"/>
    <x v="7"/>
    <x v="1"/>
    <s v="Dal (1kg)"/>
    <n v="1"/>
    <n v="120"/>
    <n v="10"/>
    <n v="12"/>
    <n v="108"/>
    <x v="995"/>
    <s v="Cash on Delivery"/>
    <s v="Delive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CC9A3-ECA1-4460-8763-8DBF5A6797D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7" firstHeaderRow="1" firstDataRow="1" firstDataCol="1"/>
  <pivotFields count="15">
    <pivotField showAll="0"/>
    <pivotField numFmtId="14" showAll="0"/>
    <pivotField showAll="0"/>
    <pivotField showAll="0"/>
    <pivotField axis="axisRow" showAll="0">
      <items count="9">
        <item x="4"/>
        <item x="5"/>
        <item x="2"/>
        <item x="7"/>
        <item x="6"/>
        <item x="1"/>
        <item x="0"/>
        <item x="3"/>
        <item t="default"/>
      </items>
    </pivotField>
    <pivotField axis="axisRow" showAll="0">
      <items count="8">
        <item x="4"/>
        <item x="3"/>
        <item x="5"/>
        <item x="0"/>
        <item x="2"/>
        <item x="1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997">
        <item x="741"/>
        <item x="278"/>
        <item x="553"/>
        <item x="956"/>
        <item x="855"/>
        <item x="104"/>
        <item x="755"/>
        <item x="420"/>
        <item x="626"/>
        <item x="691"/>
        <item x="134"/>
        <item x="868"/>
        <item x="629"/>
        <item x="280"/>
        <item x="239"/>
        <item x="94"/>
        <item x="781"/>
        <item x="432"/>
        <item x="634"/>
        <item x="995"/>
        <item x="402"/>
        <item x="141"/>
        <item x="619"/>
        <item x="81"/>
        <item x="163"/>
        <item x="99"/>
        <item x="589"/>
        <item x="485"/>
        <item x="904"/>
        <item x="304"/>
        <item x="270"/>
        <item x="257"/>
        <item x="959"/>
        <item x="788"/>
        <item x="991"/>
        <item x="462"/>
        <item x="599"/>
        <item x="174"/>
        <item x="517"/>
        <item x="906"/>
        <item x="240"/>
        <item x="342"/>
        <item x="812"/>
        <item x="248"/>
        <item x="663"/>
        <item x="554"/>
        <item x="680"/>
        <item x="381"/>
        <item x="109"/>
        <item x="91"/>
        <item x="484"/>
        <item x="6"/>
        <item x="318"/>
        <item x="528"/>
        <item x="483"/>
        <item x="291"/>
        <item x="144"/>
        <item x="963"/>
        <item x="501"/>
        <item x="333"/>
        <item x="913"/>
        <item x="843"/>
        <item x="943"/>
        <item x="968"/>
        <item x="830"/>
        <item x="823"/>
        <item x="378"/>
        <item x="847"/>
        <item x="154"/>
        <item x="900"/>
        <item x="638"/>
        <item x="506"/>
        <item x="659"/>
        <item x="328"/>
        <item x="200"/>
        <item x="337"/>
        <item x="757"/>
        <item x="440"/>
        <item x="928"/>
        <item x="249"/>
        <item x="212"/>
        <item x="231"/>
        <item x="935"/>
        <item x="891"/>
        <item x="899"/>
        <item x="101"/>
        <item x="170"/>
        <item x="977"/>
        <item x="710"/>
        <item x="679"/>
        <item x="665"/>
        <item x="944"/>
        <item x="930"/>
        <item x="479"/>
        <item x="251"/>
        <item x="670"/>
        <item x="34"/>
        <item x="360"/>
        <item x="215"/>
        <item x="302"/>
        <item x="69"/>
        <item x="799"/>
        <item x="510"/>
        <item x="759"/>
        <item x="642"/>
        <item x="895"/>
        <item x="907"/>
        <item x="190"/>
        <item x="758"/>
        <item x="771"/>
        <item x="74"/>
        <item x="509"/>
        <item x="429"/>
        <item x="145"/>
        <item x="473"/>
        <item x="428"/>
        <item x="894"/>
        <item x="866"/>
        <item x="106"/>
        <item x="303"/>
        <item x="405"/>
        <item x="862"/>
        <item x="232"/>
        <item x="31"/>
        <item x="544"/>
        <item x="309"/>
        <item x="61"/>
        <item x="406"/>
        <item x="351"/>
        <item x="933"/>
        <item x="245"/>
        <item x="2"/>
        <item x="893"/>
        <item x="29"/>
        <item x="32"/>
        <item x="465"/>
        <item x="271"/>
        <item x="778"/>
        <item x="541"/>
        <item x="964"/>
        <item x="244"/>
        <item x="286"/>
        <item x="957"/>
        <item x="826"/>
        <item x="423"/>
        <item x="84"/>
        <item x="256"/>
        <item x="27"/>
        <item x="993"/>
        <item x="500"/>
        <item x="536"/>
        <item x="966"/>
        <item x="365"/>
        <item x="927"/>
        <item x="845"/>
        <item x="199"/>
        <item x="760"/>
        <item x="936"/>
        <item x="204"/>
        <item x="298"/>
        <item x="851"/>
        <item x="786"/>
        <item x="15"/>
        <item x="761"/>
        <item x="194"/>
        <item x="857"/>
        <item x="762"/>
        <item x="307"/>
        <item x="980"/>
        <item x="449"/>
        <item x="649"/>
        <item x="931"/>
        <item x="266"/>
        <item x="946"/>
        <item x="577"/>
        <item x="380"/>
        <item x="67"/>
        <item x="961"/>
        <item x="844"/>
        <item x="640"/>
        <item x="733"/>
        <item x="990"/>
        <item x="252"/>
        <item x="519"/>
        <item x="338"/>
        <item x="159"/>
        <item x="581"/>
        <item x="368"/>
        <item x="284"/>
        <item x="644"/>
        <item x="37"/>
        <item x="347"/>
        <item x="671"/>
        <item x="419"/>
        <item x="396"/>
        <item x="654"/>
        <item x="206"/>
        <item x="983"/>
        <item x="369"/>
        <item x="138"/>
        <item x="72"/>
        <item x="219"/>
        <item x="160"/>
        <item x="693"/>
        <item x="41"/>
        <item x="341"/>
        <item x="121"/>
        <item x="948"/>
        <item x="225"/>
        <item x="945"/>
        <item x="740"/>
        <item x="75"/>
        <item x="349"/>
        <item x="273"/>
        <item x="297"/>
        <item x="42"/>
        <item x="268"/>
        <item x="63"/>
        <item x="914"/>
        <item x="892"/>
        <item x="776"/>
        <item x="869"/>
        <item x="976"/>
        <item x="782"/>
        <item x="627"/>
        <item x="346"/>
        <item x="13"/>
        <item x="493"/>
        <item x="274"/>
        <item x="683"/>
        <item x="236"/>
        <item x="143"/>
        <item x="95"/>
        <item x="555"/>
        <item x="565"/>
        <item x="824"/>
        <item x="421"/>
        <item x="624"/>
        <item x="371"/>
        <item x="158"/>
        <item x="867"/>
        <item x="825"/>
        <item x="561"/>
        <item x="809"/>
        <item x="103"/>
        <item x="583"/>
        <item x="7"/>
        <item x="763"/>
        <item x="877"/>
        <item x="836"/>
        <item x="994"/>
        <item x="227"/>
        <item x="416"/>
        <item x="764"/>
        <item x="119"/>
        <item x="133"/>
        <item x="348"/>
        <item x="818"/>
        <item x="498"/>
        <item x="752"/>
        <item x="180"/>
        <item x="400"/>
        <item x="192"/>
        <item x="887"/>
        <item x="112"/>
        <item x="775"/>
        <item x="728"/>
        <item x="602"/>
        <item x="148"/>
        <item x="684"/>
        <item x="165"/>
        <item x="890"/>
        <item x="573"/>
        <item x="911"/>
        <item x="702"/>
        <item x="981"/>
        <item x="224"/>
        <item x="487"/>
        <item x="681"/>
        <item x="36"/>
        <item x="967"/>
        <item x="195"/>
        <item x="718"/>
        <item x="315"/>
        <item x="937"/>
        <item x="905"/>
        <item x="319"/>
        <item x="783"/>
        <item x="290"/>
        <item x="860"/>
        <item x="942"/>
        <item x="726"/>
        <item x="861"/>
        <item x="373"/>
        <item x="962"/>
        <item x="391"/>
        <item x="547"/>
        <item x="226"/>
        <item x="625"/>
        <item x="33"/>
        <item x="784"/>
        <item x="445"/>
        <item x="125"/>
        <item x="902"/>
        <item x="468"/>
        <item x="118"/>
        <item x="898"/>
        <item x="678"/>
        <item x="974"/>
        <item x="463"/>
        <item x="653"/>
        <item x="182"/>
        <item x="90"/>
        <item x="434"/>
        <item x="552"/>
        <item x="514"/>
        <item x="572"/>
        <item x="172"/>
        <item x="715"/>
        <item x="765"/>
        <item x="753"/>
        <item x="879"/>
        <item x="436"/>
        <item x="620"/>
        <item x="335"/>
        <item x="114"/>
        <item x="209"/>
        <item x="503"/>
        <item x="450"/>
        <item x="754"/>
        <item x="415"/>
        <item x="452"/>
        <item x="611"/>
        <item x="332"/>
        <item x="804"/>
        <item x="336"/>
        <item x="896"/>
        <item x="637"/>
        <item x="576"/>
        <item x="299"/>
        <item x="587"/>
        <item x="811"/>
        <item x="814"/>
        <item x="186"/>
        <item x="941"/>
        <item x="735"/>
        <item x="669"/>
        <item x="695"/>
        <item x="675"/>
        <item x="52"/>
        <item x="769"/>
        <item x="57"/>
        <item x="908"/>
        <item x="648"/>
        <item x="238"/>
        <item x="442"/>
        <item x="698"/>
        <item x="494"/>
        <item x="787"/>
        <item x="618"/>
        <item x="875"/>
        <item x="20"/>
        <item x="835"/>
        <item x="660"/>
        <item x="939"/>
        <item x="456"/>
        <item x="203"/>
        <item x="773"/>
        <item x="881"/>
        <item x="28"/>
        <item x="562"/>
        <item x="543"/>
        <item x="353"/>
        <item x="350"/>
        <item x="656"/>
        <item x="426"/>
        <item x="685"/>
        <item x="609"/>
        <item x="516"/>
        <item x="792"/>
        <item x="578"/>
        <item x="5"/>
        <item x="808"/>
        <item x="123"/>
        <item x="496"/>
        <item x="690"/>
        <item x="220"/>
        <item x="76"/>
        <item x="175"/>
        <item x="475"/>
        <item x="806"/>
        <item x="521"/>
        <item x="222"/>
        <item x="815"/>
        <item x="696"/>
        <item x="910"/>
        <item x="709"/>
        <item x="392"/>
        <item x="188"/>
        <item x="701"/>
        <item x="470"/>
        <item x="631"/>
        <item x="819"/>
        <item x="617"/>
        <item x="321"/>
        <item x="924"/>
        <item x="731"/>
        <item x="46"/>
        <item x="70"/>
        <item x="704"/>
        <item x="989"/>
        <item x="558"/>
        <item x="917"/>
        <item x="68"/>
        <item x="736"/>
        <item x="676"/>
        <item x="955"/>
        <item x="730"/>
        <item x="178"/>
        <item x="856"/>
        <item x="62"/>
        <item x="960"/>
        <item x="540"/>
        <item x="216"/>
        <item x="4"/>
        <item x="454"/>
        <item x="616"/>
        <item x="499"/>
        <item x="39"/>
        <item x="641"/>
        <item x="478"/>
        <item x="569"/>
        <item x="100"/>
        <item x="539"/>
        <item x="403"/>
        <item x="408"/>
        <item x="979"/>
        <item x="794"/>
        <item x="140"/>
        <item x="107"/>
        <item x="314"/>
        <item x="491"/>
        <item x="471"/>
        <item x="575"/>
        <item x="732"/>
        <item x="325"/>
        <item x="550"/>
        <item x="688"/>
        <item x="431"/>
        <item x="343"/>
        <item x="538"/>
        <item x="234"/>
        <item x="746"/>
        <item x="711"/>
        <item x="526"/>
        <item x="472"/>
        <item x="921"/>
        <item x="157"/>
        <item x="749"/>
        <item x="386"/>
        <item x="324"/>
        <item x="745"/>
        <item x="600"/>
        <item x="884"/>
        <item x="345"/>
        <item x="586"/>
        <item x="529"/>
        <item x="842"/>
        <item x="593"/>
        <item x="481"/>
        <item x="533"/>
        <item x="751"/>
        <item x="88"/>
        <item x="687"/>
        <item x="897"/>
        <item x="590"/>
        <item x="859"/>
        <item x="527"/>
        <item x="633"/>
        <item x="512"/>
        <item x="47"/>
        <item x="588"/>
        <item x="916"/>
        <item x="361"/>
        <item x="767"/>
        <item x="664"/>
        <item x="433"/>
        <item x="482"/>
        <item x="372"/>
        <item x="886"/>
        <item x="201"/>
        <item x="340"/>
        <item x="261"/>
        <item x="650"/>
        <item x="221"/>
        <item x="706"/>
        <item x="198"/>
        <item x="339"/>
        <item x="394"/>
        <item x="241"/>
        <item x="40"/>
        <item x="513"/>
        <item x="185"/>
        <item x="326"/>
        <item x="719"/>
        <item x="622"/>
        <item x="556"/>
        <item x="885"/>
        <item x="467"/>
        <item x="184"/>
        <item x="635"/>
        <item x="352"/>
        <item x="17"/>
        <item x="591"/>
        <item x="169"/>
        <item x="502"/>
        <item x="985"/>
        <item x="920"/>
        <item x="797"/>
        <item x="167"/>
        <item x="838"/>
        <item x="385"/>
        <item x="382"/>
        <item x="566"/>
        <item x="488"/>
        <item x="537"/>
        <item x="308"/>
        <item x="105"/>
        <item x="418"/>
        <item x="557"/>
        <item x="774"/>
        <item x="873"/>
        <item x="817"/>
        <item x="448"/>
        <item x="813"/>
        <item x="612"/>
        <item x="534"/>
        <item x="409"/>
        <item x="77"/>
        <item x="858"/>
        <item x="10"/>
        <item x="923"/>
        <item x="127"/>
        <item x="214"/>
        <item x="397"/>
        <item x="816"/>
        <item x="615"/>
        <item x="743"/>
        <item x="187"/>
        <item x="958"/>
        <item x="632"/>
        <item x="289"/>
        <item x="992"/>
        <item x="262"/>
        <item x="772"/>
        <item x="279"/>
        <item x="585"/>
        <item x="978"/>
        <item x="366"/>
        <item x="505"/>
        <item x="147"/>
        <item x="455"/>
        <item x="846"/>
        <item x="915"/>
        <item x="756"/>
        <item x="85"/>
        <item x="217"/>
        <item x="313"/>
        <item x="848"/>
        <item x="458"/>
        <item x="213"/>
        <item x="938"/>
        <item x="287"/>
        <item x="331"/>
        <item x="374"/>
        <item x="344"/>
        <item x="395"/>
        <item x="310"/>
        <item x="393"/>
        <item x="275"/>
        <item x="469"/>
        <item x="89"/>
        <item x="582"/>
        <item x="580"/>
        <item x="820"/>
        <item x="639"/>
        <item x="60"/>
        <item x="82"/>
        <item x="191"/>
        <item x="647"/>
        <item x="233"/>
        <item x="356"/>
        <item x="803"/>
        <item x="598"/>
        <item x="480"/>
        <item x="156"/>
        <item x="870"/>
        <item x="21"/>
        <item x="750"/>
        <item x="263"/>
        <item x="387"/>
        <item x="128"/>
        <item x="422"/>
        <item x="193"/>
        <item x="768"/>
        <item x="545"/>
        <item x="377"/>
        <item x="603"/>
        <item x="874"/>
        <item x="571"/>
        <item x="126"/>
        <item x="404"/>
        <item x="986"/>
        <item x="401"/>
        <item x="748"/>
        <item x="497"/>
        <item x="703"/>
        <item x="312"/>
        <item x="210"/>
        <item x="293"/>
        <item x="834"/>
        <item x="805"/>
        <item x="630"/>
        <item x="883"/>
        <item x="889"/>
        <item x="242"/>
        <item x="389"/>
        <item x="827"/>
        <item x="522"/>
        <item x="829"/>
        <item x="919"/>
        <item x="55"/>
        <item x="729"/>
        <item x="871"/>
        <item x="451"/>
        <item x="489"/>
        <item x="713"/>
        <item x="596"/>
        <item x="362"/>
        <item x="508"/>
        <item x="965"/>
        <item x="66"/>
        <item x="364"/>
        <item x="357"/>
        <item x="259"/>
        <item x="208"/>
        <item x="320"/>
        <item x="152"/>
        <item x="444"/>
        <item x="282"/>
        <item x="646"/>
        <item x="430"/>
        <item x="524"/>
        <item x="708"/>
        <item x="102"/>
        <item x="354"/>
        <item x="155"/>
        <item x="724"/>
        <item x="477"/>
        <item x="196"/>
        <item x="697"/>
        <item x="795"/>
        <item x="122"/>
        <item x="19"/>
        <item x="230"/>
        <item x="9"/>
        <item x="672"/>
        <item x="559"/>
        <item x="438"/>
        <item x="520"/>
        <item x="645"/>
        <item x="246"/>
        <item x="777"/>
        <item x="721"/>
        <item x="301"/>
        <item x="253"/>
        <item x="151"/>
        <item x="694"/>
        <item x="379"/>
        <item x="56"/>
        <item x="723"/>
        <item x="682"/>
        <item x="139"/>
        <item x="437"/>
        <item x="355"/>
        <item x="22"/>
        <item x="25"/>
        <item x="150"/>
        <item x="926"/>
        <item x="739"/>
        <item x="584"/>
        <item x="770"/>
        <item x="492"/>
        <item x="909"/>
        <item x="117"/>
        <item x="925"/>
        <item x="828"/>
        <item x="283"/>
        <item x="495"/>
        <item x="384"/>
        <item x="183"/>
        <item x="532"/>
        <item x="530"/>
        <item x="515"/>
        <item x="285"/>
        <item x="872"/>
        <item x="789"/>
        <item x="120"/>
        <item x="108"/>
        <item x="388"/>
        <item x="570"/>
        <item x="579"/>
        <item x="667"/>
        <item x="168"/>
        <item x="780"/>
        <item x="111"/>
        <item x="747"/>
        <item x="65"/>
        <item x="661"/>
        <item x="666"/>
        <item x="132"/>
        <item x="674"/>
        <item x="461"/>
        <item x="38"/>
        <item x="363"/>
        <item x="457"/>
        <item x="166"/>
        <item x="551"/>
        <item x="949"/>
        <item x="766"/>
        <item x="793"/>
        <item x="276"/>
        <item x="58"/>
        <item x="218"/>
        <item x="705"/>
        <item x="92"/>
        <item x="668"/>
        <item x="840"/>
        <item x="446"/>
        <item x="265"/>
        <item x="243"/>
        <item x="435"/>
        <item x="511"/>
        <item x="953"/>
        <item x="490"/>
        <item x="518"/>
        <item x="934"/>
        <item x="507"/>
        <item x="26"/>
        <item x="383"/>
        <item x="171"/>
        <item x="16"/>
        <item x="643"/>
        <item x="53"/>
        <item x="474"/>
        <item x="254"/>
        <item x="720"/>
        <item x="801"/>
        <item x="258"/>
        <item x="410"/>
        <item x="798"/>
        <item x="970"/>
        <item x="849"/>
        <item x="453"/>
        <item x="73"/>
        <item x="149"/>
        <item x="137"/>
        <item x="796"/>
        <item x="207"/>
        <item x="947"/>
        <item x="460"/>
        <item x="370"/>
        <item x="64"/>
        <item x="23"/>
        <item x="686"/>
        <item x="621"/>
        <item x="605"/>
        <item x="658"/>
        <item x="18"/>
        <item x="954"/>
        <item x="987"/>
        <item x="689"/>
        <item x="115"/>
        <item x="707"/>
        <item x="306"/>
        <item x="822"/>
        <item x="255"/>
        <item x="606"/>
        <item x="932"/>
        <item x="737"/>
        <item x="712"/>
        <item x="223"/>
        <item x="202"/>
        <item x="412"/>
        <item x="607"/>
        <item x="229"/>
        <item x="250"/>
        <item x="734"/>
        <item x="87"/>
        <item x="300"/>
        <item x="880"/>
        <item x="810"/>
        <item x="636"/>
        <item x="592"/>
        <item x="78"/>
        <item x="567"/>
        <item x="424"/>
        <item x="699"/>
        <item x="982"/>
        <item x="486"/>
        <item x="876"/>
        <item x="535"/>
        <item x="504"/>
        <item x="330"/>
        <item x="628"/>
        <item x="161"/>
        <item x="130"/>
        <item x="692"/>
        <item x="146"/>
        <item x="802"/>
        <item x="610"/>
        <item x="700"/>
        <item x="359"/>
        <item x="940"/>
        <item x="260"/>
        <item x="548"/>
        <item x="563"/>
        <item x="912"/>
        <item x="281"/>
        <item x="399"/>
        <item x="425"/>
        <item x="929"/>
        <item x="317"/>
        <item x="97"/>
        <item x="614"/>
        <item x="327"/>
        <item x="71"/>
        <item x="35"/>
        <item x="129"/>
        <item x="316"/>
        <item x="44"/>
        <item x="329"/>
        <item x="247"/>
        <item x="48"/>
        <item x="110"/>
        <item x="131"/>
        <item x="305"/>
        <item x="922"/>
        <item x="523"/>
        <item x="601"/>
        <item x="441"/>
        <item x="807"/>
        <item x="673"/>
        <item x="358"/>
        <item x="918"/>
        <item x="272"/>
        <item x="296"/>
        <item x="427"/>
        <item x="714"/>
        <item x="49"/>
        <item x="560"/>
        <item x="439"/>
        <item x="93"/>
        <item x="878"/>
        <item x="237"/>
        <item x="51"/>
        <item x="197"/>
        <item x="3"/>
        <item x="367"/>
        <item x="162"/>
        <item x="821"/>
        <item x="466"/>
        <item x="525"/>
        <item x="850"/>
        <item x="43"/>
        <item x="142"/>
        <item x="988"/>
        <item x="294"/>
        <item x="264"/>
        <item x="14"/>
        <item x="863"/>
        <item x="173"/>
        <item x="0"/>
        <item x="853"/>
        <item x="973"/>
        <item x="411"/>
        <item x="971"/>
        <item x="390"/>
        <item x="568"/>
        <item x="594"/>
        <item x="176"/>
        <item x="785"/>
        <item x="96"/>
        <item x="833"/>
        <item x="179"/>
        <item x="459"/>
        <item x="1"/>
        <item x="888"/>
        <item x="447"/>
        <item x="311"/>
        <item x="413"/>
        <item x="608"/>
        <item x="574"/>
        <item x="164"/>
        <item x="597"/>
        <item x="901"/>
        <item x="652"/>
        <item x="267"/>
        <item x="604"/>
        <item x="407"/>
        <item x="549"/>
        <item x="292"/>
        <item x="54"/>
        <item x="969"/>
        <item x="79"/>
        <item x="903"/>
        <item x="12"/>
        <item x="375"/>
        <item x="414"/>
        <item x="742"/>
        <item x="86"/>
        <item x="136"/>
        <item x="677"/>
        <item x="80"/>
        <item x="334"/>
        <item x="722"/>
        <item x="228"/>
        <item x="882"/>
        <item x="717"/>
        <item x="269"/>
        <item x="235"/>
        <item x="779"/>
        <item x="30"/>
        <item x="98"/>
        <item x="837"/>
        <item x="972"/>
        <item x="531"/>
        <item x="864"/>
        <item x="464"/>
        <item x="595"/>
        <item x="952"/>
        <item x="189"/>
        <item x="322"/>
        <item x="623"/>
        <item x="135"/>
        <item x="59"/>
        <item x="546"/>
        <item x="205"/>
        <item x="950"/>
        <item x="124"/>
        <item x="852"/>
        <item x="738"/>
        <item x="181"/>
        <item x="113"/>
        <item x="839"/>
        <item x="564"/>
        <item x="476"/>
        <item x="153"/>
        <item x="716"/>
        <item x="832"/>
        <item x="841"/>
        <item x="211"/>
        <item x="975"/>
        <item x="50"/>
        <item x="277"/>
        <item x="657"/>
        <item x="417"/>
        <item x="295"/>
        <item x="11"/>
        <item x="865"/>
        <item x="790"/>
        <item x="177"/>
        <item x="542"/>
        <item x="951"/>
        <item x="727"/>
        <item x="376"/>
        <item x="800"/>
        <item x="398"/>
        <item x="831"/>
        <item x="8"/>
        <item x="24"/>
        <item x="116"/>
        <item x="854"/>
        <item x="443"/>
        <item x="651"/>
        <item x="662"/>
        <item x="744"/>
        <item x="288"/>
        <item x="45"/>
        <item x="725"/>
        <item x="655"/>
        <item x="83"/>
        <item x="791"/>
        <item x="984"/>
        <item x="323"/>
        <item x="613"/>
        <item t="default"/>
      </items>
    </pivotField>
    <pivotField showAll="0"/>
    <pivotField showAll="0"/>
  </pivotFields>
  <rowFields count="2">
    <field x="5"/>
    <field x="4"/>
  </rowFields>
  <rowItems count="6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Net_Sales" fld="11" baseField="0" baseItem="0"/>
  </dataFields>
  <formats count="2">
    <format dxfId="10">
      <pivotArea collapsedLevelsAreSubtotals="1" fieldPosition="0">
        <references count="2">
          <reference field="4294967294" count="1" selected="0">
            <x v="0"/>
          </reference>
          <reference field="5" count="0"/>
        </references>
      </pivotArea>
    </format>
    <format dxfId="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17280-D8C3-4070-9D24-637F433E11E7}">
  <dimension ref="A3:B67"/>
  <sheetViews>
    <sheetView topLeftCell="A22" workbookViewId="0">
      <selection activeCell="A3" sqref="A3"/>
    </sheetView>
  </sheetViews>
  <sheetFormatPr defaultRowHeight="14.4" x14ac:dyDescent="0.3"/>
  <cols>
    <col min="1" max="1" width="13.77734375" bestFit="1" customWidth="1"/>
    <col min="2" max="2" width="15.44140625" bestFit="1" customWidth="1"/>
    <col min="3" max="3" width="11.44140625" bestFit="1" customWidth="1"/>
    <col min="4" max="4" width="5" bestFit="1" customWidth="1"/>
    <col min="5" max="17" width="6" bestFit="1" customWidth="1"/>
    <col min="18" max="18" width="5" bestFit="1" customWidth="1"/>
    <col min="19" max="23" width="6" bestFit="1" customWidth="1"/>
    <col min="24" max="24" width="7" bestFit="1" customWidth="1"/>
    <col min="25" max="28" width="6" bestFit="1" customWidth="1"/>
    <col min="29" max="29" width="4" bestFit="1" customWidth="1"/>
    <col min="30" max="30" width="7" bestFit="1" customWidth="1"/>
    <col min="31" max="52" width="6" bestFit="1" customWidth="1"/>
    <col min="53" max="53" width="5" bestFit="1" customWidth="1"/>
    <col min="54" max="55" width="6" bestFit="1" customWidth="1"/>
    <col min="56" max="56" width="7" bestFit="1" customWidth="1"/>
    <col min="57" max="61" width="6" bestFit="1" customWidth="1"/>
    <col min="62" max="62" width="5" bestFit="1" customWidth="1"/>
    <col min="63" max="73" width="6" bestFit="1" customWidth="1"/>
    <col min="74" max="75" width="7" bestFit="1" customWidth="1"/>
    <col min="76" max="81" width="6" bestFit="1" customWidth="1"/>
    <col min="82" max="82" width="7" bestFit="1" customWidth="1"/>
    <col min="83" max="84" width="6" bestFit="1" customWidth="1"/>
    <col min="85" max="85" width="7" bestFit="1" customWidth="1"/>
    <col min="86" max="86" width="6" bestFit="1" customWidth="1"/>
    <col min="87" max="87" width="7" bestFit="1" customWidth="1"/>
    <col min="88" max="92" width="6" bestFit="1" customWidth="1"/>
    <col min="93" max="94" width="7" bestFit="1" customWidth="1"/>
    <col min="95" max="96" width="6" bestFit="1" customWidth="1"/>
    <col min="97" max="97" width="7" bestFit="1" customWidth="1"/>
    <col min="98" max="100" width="6" bestFit="1" customWidth="1"/>
    <col min="101" max="102" width="7" bestFit="1" customWidth="1"/>
    <col min="103" max="103" width="6" bestFit="1" customWidth="1"/>
    <col min="104" max="104" width="7" bestFit="1" customWidth="1"/>
    <col min="105" max="106" width="6" bestFit="1" customWidth="1"/>
    <col min="107" max="107" width="7" bestFit="1" customWidth="1"/>
    <col min="108" max="114" width="6" bestFit="1" customWidth="1"/>
    <col min="115" max="115" width="4" bestFit="1" customWidth="1"/>
    <col min="116" max="131" width="6" bestFit="1" customWidth="1"/>
    <col min="132" max="132" width="7" bestFit="1" customWidth="1"/>
    <col min="133" max="134" width="6" bestFit="1" customWidth="1"/>
    <col min="135" max="143" width="7" bestFit="1" customWidth="1"/>
    <col min="144" max="144" width="6" bestFit="1" customWidth="1"/>
    <col min="145" max="145" width="7" bestFit="1" customWidth="1"/>
    <col min="146" max="146" width="6" bestFit="1" customWidth="1"/>
    <col min="147" max="148" width="7" bestFit="1" customWidth="1"/>
    <col min="149" max="149" width="6" bestFit="1" customWidth="1"/>
    <col min="150" max="151" width="7" bestFit="1" customWidth="1"/>
    <col min="152" max="152" width="6" bestFit="1" customWidth="1"/>
    <col min="153" max="156" width="7" bestFit="1" customWidth="1"/>
    <col min="157" max="157" width="6" bestFit="1" customWidth="1"/>
    <col min="158" max="170" width="7" bestFit="1" customWidth="1"/>
    <col min="171" max="171" width="8" bestFit="1" customWidth="1"/>
    <col min="172" max="183" width="7" bestFit="1" customWidth="1"/>
    <col min="184" max="184" width="8" bestFit="1" customWidth="1"/>
    <col min="185" max="187" width="7" bestFit="1" customWidth="1"/>
    <col min="188" max="188" width="6" bestFit="1" customWidth="1"/>
    <col min="189" max="201" width="7" bestFit="1" customWidth="1"/>
    <col min="202" max="202" width="6" bestFit="1" customWidth="1"/>
    <col min="203" max="213" width="7" bestFit="1" customWidth="1"/>
    <col min="214" max="214" width="8" bestFit="1" customWidth="1"/>
    <col min="215" max="215" width="7" bestFit="1" customWidth="1"/>
    <col min="216" max="216" width="8" bestFit="1" customWidth="1"/>
    <col min="217" max="230" width="7" bestFit="1" customWidth="1"/>
    <col min="231" max="231" width="4" bestFit="1" customWidth="1"/>
    <col min="232" max="242" width="7" bestFit="1" customWidth="1"/>
    <col min="243" max="243" width="8" bestFit="1" customWidth="1"/>
    <col min="244" max="253" width="7" bestFit="1" customWidth="1"/>
    <col min="254" max="254" width="6" bestFit="1" customWidth="1"/>
    <col min="255" max="255" width="7" bestFit="1" customWidth="1"/>
    <col min="256" max="256" width="6" bestFit="1" customWidth="1"/>
    <col min="257" max="289" width="7" bestFit="1" customWidth="1"/>
    <col min="290" max="290" width="6" bestFit="1" customWidth="1"/>
    <col min="291" max="299" width="7" bestFit="1" customWidth="1"/>
    <col min="300" max="300" width="8" bestFit="1" customWidth="1"/>
    <col min="301" max="303" width="7" bestFit="1" customWidth="1"/>
    <col min="304" max="304" width="6" bestFit="1" customWidth="1"/>
    <col min="305" max="325" width="7" bestFit="1" customWidth="1"/>
    <col min="326" max="326" width="8" bestFit="1" customWidth="1"/>
    <col min="327" max="337" width="7" bestFit="1" customWidth="1"/>
    <col min="338" max="338" width="6" bestFit="1" customWidth="1"/>
    <col min="339" max="346" width="7" bestFit="1" customWidth="1"/>
    <col min="347" max="348" width="8" bestFit="1" customWidth="1"/>
    <col min="349" max="352" width="7" bestFit="1" customWidth="1"/>
    <col min="353" max="353" width="8" bestFit="1" customWidth="1"/>
    <col min="354" max="354" width="7" bestFit="1" customWidth="1"/>
    <col min="355" max="355" width="8" bestFit="1" customWidth="1"/>
    <col min="356" max="361" width="7" bestFit="1" customWidth="1"/>
    <col min="362" max="362" width="8" bestFit="1" customWidth="1"/>
    <col min="363" max="364" width="7" bestFit="1" customWidth="1"/>
    <col min="365" max="365" width="6" bestFit="1" customWidth="1"/>
    <col min="366" max="379" width="7" bestFit="1" customWidth="1"/>
    <col min="380" max="380" width="8" bestFit="1" customWidth="1"/>
    <col min="381" max="386" width="7" bestFit="1" customWidth="1"/>
    <col min="387" max="387" width="6" bestFit="1" customWidth="1"/>
    <col min="388" max="389" width="7" bestFit="1" customWidth="1"/>
    <col min="390" max="390" width="8" bestFit="1" customWidth="1"/>
    <col min="391" max="392" width="7" bestFit="1" customWidth="1"/>
    <col min="393" max="393" width="6" bestFit="1" customWidth="1"/>
    <col min="394" max="397" width="7" bestFit="1" customWidth="1"/>
    <col min="398" max="398" width="6" bestFit="1" customWidth="1"/>
    <col min="399" max="400" width="7" bestFit="1" customWidth="1"/>
    <col min="401" max="401" width="8" bestFit="1" customWidth="1"/>
    <col min="402" max="407" width="7" bestFit="1" customWidth="1"/>
    <col min="408" max="409" width="6" bestFit="1" customWidth="1"/>
    <col min="410" max="410" width="7" bestFit="1" customWidth="1"/>
    <col min="411" max="411" width="8" bestFit="1" customWidth="1"/>
    <col min="412" max="430" width="7" bestFit="1" customWidth="1"/>
    <col min="431" max="432" width="8" bestFit="1" customWidth="1"/>
    <col min="433" max="443" width="7" bestFit="1" customWidth="1"/>
    <col min="444" max="445" width="6" bestFit="1" customWidth="1"/>
    <col min="446" max="453" width="7" bestFit="1" customWidth="1"/>
    <col min="454" max="454" width="6" bestFit="1" customWidth="1"/>
    <col min="455" max="468" width="7" bestFit="1" customWidth="1"/>
    <col min="469" max="469" width="6" bestFit="1" customWidth="1"/>
    <col min="470" max="473" width="7" bestFit="1" customWidth="1"/>
    <col min="474" max="474" width="8" bestFit="1" customWidth="1"/>
    <col min="475" max="476" width="7" bestFit="1" customWidth="1"/>
    <col min="477" max="477" width="8" bestFit="1" customWidth="1"/>
    <col min="478" max="483" width="7" bestFit="1" customWidth="1"/>
    <col min="484" max="484" width="8" bestFit="1" customWidth="1"/>
    <col min="485" max="492" width="7" bestFit="1" customWidth="1"/>
    <col min="493" max="493" width="6" bestFit="1" customWidth="1"/>
    <col min="494" max="496" width="7" bestFit="1" customWidth="1"/>
    <col min="497" max="498" width="8" bestFit="1" customWidth="1"/>
    <col min="499" max="516" width="7" bestFit="1" customWidth="1"/>
    <col min="517" max="517" width="8" bestFit="1" customWidth="1"/>
    <col min="518" max="525" width="7" bestFit="1" customWidth="1"/>
    <col min="526" max="526" width="8" bestFit="1" customWidth="1"/>
    <col min="527" max="539" width="7" bestFit="1" customWidth="1"/>
    <col min="540" max="540" width="8" bestFit="1" customWidth="1"/>
    <col min="541" max="545" width="7" bestFit="1" customWidth="1"/>
    <col min="546" max="547" width="8" bestFit="1" customWidth="1"/>
    <col min="548" max="549" width="7" bestFit="1" customWidth="1"/>
    <col min="550" max="550" width="6" bestFit="1" customWidth="1"/>
    <col min="551" max="555" width="7" bestFit="1" customWidth="1"/>
    <col min="556" max="556" width="8" bestFit="1" customWidth="1"/>
    <col min="557" max="565" width="7" bestFit="1" customWidth="1"/>
    <col min="566" max="566" width="6" bestFit="1" customWidth="1"/>
    <col min="567" max="578" width="7" bestFit="1" customWidth="1"/>
    <col min="579" max="579" width="8" bestFit="1" customWidth="1"/>
    <col min="580" max="580" width="7" bestFit="1" customWidth="1"/>
    <col min="581" max="581" width="6" bestFit="1" customWidth="1"/>
    <col min="582" max="589" width="7" bestFit="1" customWidth="1"/>
    <col min="590" max="590" width="8" bestFit="1" customWidth="1"/>
    <col min="591" max="595" width="7" bestFit="1" customWidth="1"/>
    <col min="596" max="596" width="8" bestFit="1" customWidth="1"/>
    <col min="597" max="600" width="7" bestFit="1" customWidth="1"/>
    <col min="601" max="601" width="8" bestFit="1" customWidth="1"/>
    <col min="602" max="604" width="7" bestFit="1" customWidth="1"/>
    <col min="605" max="605" width="8" bestFit="1" customWidth="1"/>
    <col min="606" max="619" width="7" bestFit="1" customWidth="1"/>
    <col min="620" max="620" width="8" bestFit="1" customWidth="1"/>
    <col min="621" max="623" width="7" bestFit="1" customWidth="1"/>
    <col min="624" max="624" width="6" bestFit="1" customWidth="1"/>
    <col min="625" max="625" width="7" bestFit="1" customWidth="1"/>
    <col min="626" max="632" width="8" bestFit="1" customWidth="1"/>
    <col min="633" max="633" width="7" bestFit="1" customWidth="1"/>
    <col min="634" max="655" width="8" bestFit="1" customWidth="1"/>
    <col min="656" max="656" width="7" bestFit="1" customWidth="1"/>
    <col min="657" max="665" width="8" bestFit="1" customWidth="1"/>
    <col min="666" max="666" width="7" bestFit="1" customWidth="1"/>
    <col min="667" max="670" width="8" bestFit="1" customWidth="1"/>
    <col min="671" max="671" width="9" bestFit="1" customWidth="1"/>
    <col min="672" max="679" width="8" bestFit="1" customWidth="1"/>
    <col min="680" max="680" width="7" bestFit="1" customWidth="1"/>
    <col min="681" max="713" width="8" bestFit="1" customWidth="1"/>
    <col min="714" max="714" width="7" bestFit="1" customWidth="1"/>
    <col min="715" max="739" width="8" bestFit="1" customWidth="1"/>
    <col min="740" max="740" width="7" bestFit="1" customWidth="1"/>
    <col min="741" max="743" width="8" bestFit="1" customWidth="1"/>
    <col min="744" max="745" width="7" bestFit="1" customWidth="1"/>
    <col min="746" max="760" width="8" bestFit="1" customWidth="1"/>
    <col min="761" max="761" width="7" bestFit="1" customWidth="1"/>
    <col min="762" max="763" width="8" bestFit="1" customWidth="1"/>
    <col min="764" max="764" width="7" bestFit="1" customWidth="1"/>
    <col min="765" max="767" width="8" bestFit="1" customWidth="1"/>
    <col min="768" max="768" width="7" bestFit="1" customWidth="1"/>
    <col min="769" max="796" width="8" bestFit="1" customWidth="1"/>
    <col min="797" max="797" width="7" bestFit="1" customWidth="1"/>
    <col min="798" max="800" width="8" bestFit="1" customWidth="1"/>
    <col min="801" max="801" width="7" bestFit="1" customWidth="1"/>
    <col min="802" max="831" width="8" bestFit="1" customWidth="1"/>
    <col min="832" max="832" width="9" bestFit="1" customWidth="1"/>
    <col min="833" max="842" width="8" bestFit="1" customWidth="1"/>
    <col min="843" max="844" width="7" bestFit="1" customWidth="1"/>
    <col min="845" max="846" width="8" bestFit="1" customWidth="1"/>
    <col min="847" max="847" width="9" bestFit="1" customWidth="1"/>
    <col min="848" max="852" width="8" bestFit="1" customWidth="1"/>
    <col min="853" max="853" width="7" bestFit="1" customWidth="1"/>
    <col min="854" max="869" width="8" bestFit="1" customWidth="1"/>
    <col min="870" max="870" width="7" bestFit="1" customWidth="1"/>
    <col min="871" max="875" width="8" bestFit="1" customWidth="1"/>
    <col min="876" max="876" width="7" bestFit="1" customWidth="1"/>
    <col min="877" max="884" width="8" bestFit="1" customWidth="1"/>
    <col min="885" max="885" width="7" bestFit="1" customWidth="1"/>
    <col min="886" max="886" width="8" bestFit="1" customWidth="1"/>
    <col min="887" max="887" width="7" bestFit="1" customWidth="1"/>
    <col min="888" max="906" width="8" bestFit="1" customWidth="1"/>
    <col min="907" max="907" width="7" bestFit="1" customWidth="1"/>
    <col min="908" max="913" width="8" bestFit="1" customWidth="1"/>
    <col min="914" max="914" width="7" bestFit="1" customWidth="1"/>
    <col min="915" max="925" width="8" bestFit="1" customWidth="1"/>
    <col min="926" max="926" width="7" bestFit="1" customWidth="1"/>
    <col min="927" max="928" width="8" bestFit="1" customWidth="1"/>
    <col min="929" max="944" width="9" bestFit="1" customWidth="1"/>
    <col min="945" max="945" width="8" bestFit="1" customWidth="1"/>
    <col min="946" max="946" width="9" bestFit="1" customWidth="1"/>
    <col min="947" max="947" width="8" bestFit="1" customWidth="1"/>
    <col min="948" max="955" width="9" bestFit="1" customWidth="1"/>
    <col min="956" max="956" width="8" bestFit="1" customWidth="1"/>
    <col min="957" max="963" width="9" bestFit="1" customWidth="1"/>
    <col min="964" max="964" width="8" bestFit="1" customWidth="1"/>
    <col min="965" max="986" width="9" bestFit="1" customWidth="1"/>
    <col min="987" max="987" width="8" bestFit="1" customWidth="1"/>
    <col min="988" max="996" width="9" bestFit="1" customWidth="1"/>
    <col min="997" max="997" width="8" bestFit="1" customWidth="1"/>
    <col min="998" max="998" width="10.5546875" bestFit="1" customWidth="1"/>
  </cols>
  <sheetData>
    <row r="3" spans="1:2" x14ac:dyDescent="0.3">
      <c r="A3" s="5" t="s">
        <v>1888</v>
      </c>
      <c r="B3" t="s">
        <v>1887</v>
      </c>
    </row>
    <row r="4" spans="1:2" x14ac:dyDescent="0.3">
      <c r="A4" s="6" t="s">
        <v>60</v>
      </c>
      <c r="B4" s="8">
        <v>296457.5</v>
      </c>
    </row>
    <row r="5" spans="1:2" x14ac:dyDescent="0.3">
      <c r="A5" s="10" t="s">
        <v>54</v>
      </c>
      <c r="B5" s="4">
        <v>18505</v>
      </c>
    </row>
    <row r="6" spans="1:2" x14ac:dyDescent="0.3">
      <c r="A6" s="10" t="s">
        <v>59</v>
      </c>
      <c r="B6" s="4">
        <v>23740</v>
      </c>
    </row>
    <row r="7" spans="1:2" x14ac:dyDescent="0.3">
      <c r="A7" s="10" t="s">
        <v>31</v>
      </c>
      <c r="B7" s="4">
        <v>35592.5</v>
      </c>
    </row>
    <row r="8" spans="1:2" x14ac:dyDescent="0.3">
      <c r="A8" s="10" t="s">
        <v>83</v>
      </c>
      <c r="B8" s="4">
        <v>44032.5</v>
      </c>
    </row>
    <row r="9" spans="1:2" x14ac:dyDescent="0.3">
      <c r="A9" s="10" t="s">
        <v>78</v>
      </c>
      <c r="B9" s="4">
        <v>49557.5</v>
      </c>
    </row>
    <row r="10" spans="1:2" x14ac:dyDescent="0.3">
      <c r="A10" s="10" t="s">
        <v>26</v>
      </c>
      <c r="B10" s="4">
        <v>46880</v>
      </c>
    </row>
    <row r="11" spans="1:2" x14ac:dyDescent="0.3">
      <c r="A11" s="10" t="s">
        <v>18</v>
      </c>
      <c r="B11" s="4">
        <v>28172.5</v>
      </c>
    </row>
    <row r="12" spans="1:2" x14ac:dyDescent="0.3">
      <c r="A12" s="10" t="s">
        <v>48</v>
      </c>
      <c r="B12" s="4">
        <v>49977.5</v>
      </c>
    </row>
    <row r="13" spans="1:2" x14ac:dyDescent="0.3">
      <c r="A13" s="6" t="s">
        <v>49</v>
      </c>
      <c r="B13" s="8">
        <v>175576.8</v>
      </c>
    </row>
    <row r="14" spans="1:2" x14ac:dyDescent="0.3">
      <c r="A14" s="10" t="s">
        <v>54</v>
      </c>
      <c r="B14" s="4">
        <v>16484.5</v>
      </c>
    </row>
    <row r="15" spans="1:2" x14ac:dyDescent="0.3">
      <c r="A15" s="10" t="s">
        <v>59</v>
      </c>
      <c r="B15" s="4">
        <v>14035.7</v>
      </c>
    </row>
    <row r="16" spans="1:2" x14ac:dyDescent="0.3">
      <c r="A16" s="10" t="s">
        <v>31</v>
      </c>
      <c r="B16" s="4">
        <v>20845.100000000002</v>
      </c>
    </row>
    <row r="17" spans="1:2" x14ac:dyDescent="0.3">
      <c r="A17" s="10" t="s">
        <v>83</v>
      </c>
      <c r="B17" s="4">
        <v>18248.100000000002</v>
      </c>
    </row>
    <row r="18" spans="1:2" x14ac:dyDescent="0.3">
      <c r="A18" s="10" t="s">
        <v>78</v>
      </c>
      <c r="B18" s="4">
        <v>18241.899999999998</v>
      </c>
    </row>
    <row r="19" spans="1:2" x14ac:dyDescent="0.3">
      <c r="A19" s="10" t="s">
        <v>26</v>
      </c>
      <c r="B19" s="4">
        <v>28476.7</v>
      </c>
    </row>
    <row r="20" spans="1:2" x14ac:dyDescent="0.3">
      <c r="A20" s="10" t="s">
        <v>18</v>
      </c>
      <c r="B20" s="4">
        <v>22783.9</v>
      </c>
    </row>
    <row r="21" spans="1:2" x14ac:dyDescent="0.3">
      <c r="A21" s="10" t="s">
        <v>48</v>
      </c>
      <c r="B21" s="4">
        <v>36460.9</v>
      </c>
    </row>
    <row r="22" spans="1:2" x14ac:dyDescent="0.3">
      <c r="A22" s="6" t="s">
        <v>69</v>
      </c>
      <c r="B22" s="8">
        <v>691892.20000000007</v>
      </c>
    </row>
    <row r="23" spans="1:2" x14ac:dyDescent="0.3">
      <c r="A23" s="10" t="s">
        <v>54</v>
      </c>
      <c r="B23" s="4">
        <v>68201.349999999991</v>
      </c>
    </row>
    <row r="24" spans="1:2" x14ac:dyDescent="0.3">
      <c r="A24" s="10" t="s">
        <v>59</v>
      </c>
      <c r="B24" s="4">
        <v>52694.65</v>
      </c>
    </row>
    <row r="25" spans="1:2" x14ac:dyDescent="0.3">
      <c r="A25" s="10" t="s">
        <v>31</v>
      </c>
      <c r="B25" s="4">
        <v>95164.799999999988</v>
      </c>
    </row>
    <row r="26" spans="1:2" x14ac:dyDescent="0.3">
      <c r="A26" s="10" t="s">
        <v>83</v>
      </c>
      <c r="B26" s="4">
        <v>99005.35</v>
      </c>
    </row>
    <row r="27" spans="1:2" x14ac:dyDescent="0.3">
      <c r="A27" s="10" t="s">
        <v>78</v>
      </c>
      <c r="B27" s="4">
        <v>68620.7</v>
      </c>
    </row>
    <row r="28" spans="1:2" x14ac:dyDescent="0.3">
      <c r="A28" s="10" t="s">
        <v>26</v>
      </c>
      <c r="B28" s="4">
        <v>106486.65000000001</v>
      </c>
    </row>
    <row r="29" spans="1:2" x14ac:dyDescent="0.3">
      <c r="A29" s="10" t="s">
        <v>18</v>
      </c>
      <c r="B29" s="4">
        <v>130826.70000000001</v>
      </c>
    </row>
    <row r="30" spans="1:2" x14ac:dyDescent="0.3">
      <c r="A30" s="10" t="s">
        <v>48</v>
      </c>
      <c r="B30" s="4">
        <v>70892</v>
      </c>
    </row>
    <row r="31" spans="1:2" x14ac:dyDescent="0.3">
      <c r="A31" s="6" t="s">
        <v>19</v>
      </c>
      <c r="B31" s="8">
        <v>7251440</v>
      </c>
    </row>
    <row r="32" spans="1:2" x14ac:dyDescent="0.3">
      <c r="A32" s="10" t="s">
        <v>54</v>
      </c>
      <c r="B32" s="4">
        <v>1195630</v>
      </c>
    </row>
    <row r="33" spans="1:2" x14ac:dyDescent="0.3">
      <c r="A33" s="10" t="s">
        <v>59</v>
      </c>
      <c r="B33" s="4">
        <v>1080435</v>
      </c>
    </row>
    <row r="34" spans="1:2" x14ac:dyDescent="0.3">
      <c r="A34" s="10" t="s">
        <v>31</v>
      </c>
      <c r="B34" s="4">
        <v>1118575</v>
      </c>
    </row>
    <row r="35" spans="1:2" x14ac:dyDescent="0.3">
      <c r="A35" s="10" t="s">
        <v>83</v>
      </c>
      <c r="B35" s="4">
        <v>461860</v>
      </c>
    </row>
    <row r="36" spans="1:2" x14ac:dyDescent="0.3">
      <c r="A36" s="10" t="s">
        <v>78</v>
      </c>
      <c r="B36" s="4">
        <v>1027780</v>
      </c>
    </row>
    <row r="37" spans="1:2" x14ac:dyDescent="0.3">
      <c r="A37" s="10" t="s">
        <v>26</v>
      </c>
      <c r="B37" s="4">
        <v>499525</v>
      </c>
    </row>
    <row r="38" spans="1:2" x14ac:dyDescent="0.3">
      <c r="A38" s="10" t="s">
        <v>18</v>
      </c>
      <c r="B38" s="4">
        <v>956035</v>
      </c>
    </row>
    <row r="39" spans="1:2" x14ac:dyDescent="0.3">
      <c r="A39" s="10" t="s">
        <v>48</v>
      </c>
      <c r="B39" s="4">
        <v>911600</v>
      </c>
    </row>
    <row r="40" spans="1:2" x14ac:dyDescent="0.3">
      <c r="A40" s="6" t="s">
        <v>39</v>
      </c>
      <c r="B40" s="8">
        <v>4186220</v>
      </c>
    </row>
    <row r="41" spans="1:2" x14ac:dyDescent="0.3">
      <c r="A41" s="10" t="s">
        <v>54</v>
      </c>
      <c r="B41" s="4">
        <v>277270</v>
      </c>
    </row>
    <row r="42" spans="1:2" x14ac:dyDescent="0.3">
      <c r="A42" s="10" t="s">
        <v>59</v>
      </c>
      <c r="B42" s="4">
        <v>761835</v>
      </c>
    </row>
    <row r="43" spans="1:2" x14ac:dyDescent="0.3">
      <c r="A43" s="10" t="s">
        <v>31</v>
      </c>
      <c r="B43" s="4">
        <v>175280</v>
      </c>
    </row>
    <row r="44" spans="1:2" x14ac:dyDescent="0.3">
      <c r="A44" s="10" t="s">
        <v>83</v>
      </c>
      <c r="B44" s="4">
        <v>561695</v>
      </c>
    </row>
    <row r="45" spans="1:2" x14ac:dyDescent="0.3">
      <c r="A45" s="10" t="s">
        <v>78</v>
      </c>
      <c r="B45" s="4">
        <v>624665</v>
      </c>
    </row>
    <row r="46" spans="1:2" x14ac:dyDescent="0.3">
      <c r="A46" s="10" t="s">
        <v>26</v>
      </c>
      <c r="B46" s="4">
        <v>588780</v>
      </c>
    </row>
    <row r="47" spans="1:2" x14ac:dyDescent="0.3">
      <c r="A47" s="10" t="s">
        <v>18</v>
      </c>
      <c r="B47" s="4">
        <v>791780</v>
      </c>
    </row>
    <row r="48" spans="1:2" x14ac:dyDescent="0.3">
      <c r="A48" s="10" t="s">
        <v>48</v>
      </c>
      <c r="B48" s="4">
        <v>404915</v>
      </c>
    </row>
    <row r="49" spans="1:2" x14ac:dyDescent="0.3">
      <c r="A49" s="6" t="s">
        <v>32</v>
      </c>
      <c r="B49" s="8">
        <v>92017.5</v>
      </c>
    </row>
    <row r="50" spans="1:2" x14ac:dyDescent="0.3">
      <c r="A50" s="10" t="s">
        <v>54</v>
      </c>
      <c r="B50" s="4">
        <v>11669.5</v>
      </c>
    </row>
    <row r="51" spans="1:2" x14ac:dyDescent="0.3">
      <c r="A51" s="10" t="s">
        <v>59</v>
      </c>
      <c r="B51" s="4">
        <v>10342.5</v>
      </c>
    </row>
    <row r="52" spans="1:2" x14ac:dyDescent="0.3">
      <c r="A52" s="10" t="s">
        <v>31</v>
      </c>
      <c r="B52" s="4">
        <v>13429</v>
      </c>
    </row>
    <row r="53" spans="1:2" x14ac:dyDescent="0.3">
      <c r="A53" s="10" t="s">
        <v>83</v>
      </c>
      <c r="B53" s="4">
        <v>12038.5</v>
      </c>
    </row>
    <row r="54" spans="1:2" x14ac:dyDescent="0.3">
      <c r="A54" s="10" t="s">
        <v>78</v>
      </c>
      <c r="B54" s="4">
        <v>12719</v>
      </c>
    </row>
    <row r="55" spans="1:2" x14ac:dyDescent="0.3">
      <c r="A55" s="10" t="s">
        <v>26</v>
      </c>
      <c r="B55" s="4">
        <v>11608.5</v>
      </c>
    </row>
    <row r="56" spans="1:2" x14ac:dyDescent="0.3">
      <c r="A56" s="10" t="s">
        <v>18</v>
      </c>
      <c r="B56" s="4">
        <v>10503</v>
      </c>
    </row>
    <row r="57" spans="1:2" x14ac:dyDescent="0.3">
      <c r="A57" s="10" t="s">
        <v>48</v>
      </c>
      <c r="B57" s="4">
        <v>9707.5</v>
      </c>
    </row>
    <row r="58" spans="1:2" x14ac:dyDescent="0.3">
      <c r="A58" s="6" t="s">
        <v>74</v>
      </c>
      <c r="B58" s="8">
        <v>1202420</v>
      </c>
    </row>
    <row r="59" spans="1:2" x14ac:dyDescent="0.3">
      <c r="A59" s="10" t="s">
        <v>54</v>
      </c>
      <c r="B59" s="4">
        <v>123620</v>
      </c>
    </row>
    <row r="60" spans="1:2" x14ac:dyDescent="0.3">
      <c r="A60" s="10" t="s">
        <v>59</v>
      </c>
      <c r="B60" s="4">
        <v>108770</v>
      </c>
    </row>
    <row r="61" spans="1:2" x14ac:dyDescent="0.3">
      <c r="A61" s="10" t="s">
        <v>31</v>
      </c>
      <c r="B61" s="4">
        <v>182545</v>
      </c>
    </row>
    <row r="62" spans="1:2" x14ac:dyDescent="0.3">
      <c r="A62" s="10" t="s">
        <v>83</v>
      </c>
      <c r="B62" s="4">
        <v>224375</v>
      </c>
    </row>
    <row r="63" spans="1:2" x14ac:dyDescent="0.3">
      <c r="A63" s="10" t="s">
        <v>78</v>
      </c>
      <c r="B63" s="4">
        <v>209285</v>
      </c>
    </row>
    <row r="64" spans="1:2" x14ac:dyDescent="0.3">
      <c r="A64" s="10" t="s">
        <v>26</v>
      </c>
      <c r="B64" s="4">
        <v>155465</v>
      </c>
    </row>
    <row r="65" spans="1:2" x14ac:dyDescent="0.3">
      <c r="A65" s="10" t="s">
        <v>18</v>
      </c>
      <c r="B65" s="4">
        <v>88645</v>
      </c>
    </row>
    <row r="66" spans="1:2" x14ac:dyDescent="0.3">
      <c r="A66" s="10" t="s">
        <v>48</v>
      </c>
      <c r="B66" s="4">
        <v>109715</v>
      </c>
    </row>
    <row r="67" spans="1:2" x14ac:dyDescent="0.3">
      <c r="A67" s="6" t="s">
        <v>1889</v>
      </c>
      <c r="B67" s="8">
        <v>13896024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45CE-42C2-404B-8495-C0AC2158524A}">
  <dimension ref="A1:T1001"/>
  <sheetViews>
    <sheetView topLeftCell="N1" workbookViewId="0">
      <selection activeCell="S14" sqref="S14"/>
    </sheetView>
  </sheetViews>
  <sheetFormatPr defaultRowHeight="14.4" x14ac:dyDescent="0.3"/>
  <cols>
    <col min="1" max="1" width="8.6640625" bestFit="1" customWidth="1"/>
    <col min="2" max="2" width="10.44140625" bestFit="1" customWidth="1"/>
    <col min="3" max="3" width="11.6640625" bestFit="1" customWidth="1"/>
    <col min="4" max="4" width="15" bestFit="1" customWidth="1"/>
    <col min="5" max="5" width="10.6640625" bestFit="1" customWidth="1"/>
    <col min="6" max="6" width="10" bestFit="1" customWidth="1"/>
    <col min="7" max="7" width="15.88671875" bestFit="1" customWidth="1"/>
    <col min="8" max="8" width="8.109375" bestFit="1" customWidth="1"/>
    <col min="9" max="9" width="9.5546875" bestFit="1" customWidth="1"/>
    <col min="10" max="10" width="11.88671875" bestFit="1" customWidth="1"/>
    <col min="11" max="11" width="12.5546875" bestFit="1" customWidth="1"/>
    <col min="12" max="12" width="9.33203125" bestFit="1" customWidth="1"/>
    <col min="13" max="13" width="9" bestFit="1" customWidth="1"/>
    <col min="14" max="14" width="14.21875" bestFit="1" customWidth="1"/>
    <col min="15" max="15" width="14" bestFit="1" customWidth="1"/>
    <col min="16" max="16" width="10.21875" bestFit="1" customWidth="1"/>
    <col min="17" max="17" width="14" bestFit="1" customWidth="1"/>
    <col min="18" max="18" width="8.33203125" bestFit="1" customWidth="1"/>
    <col min="19" max="19" width="32.5546875" bestFit="1" customWidth="1"/>
    <col min="20" max="20" width="12.33203125" bestFit="1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1895</v>
      </c>
      <c r="Q1" s="2" t="s">
        <v>1896</v>
      </c>
      <c r="R1" s="2" t="s">
        <v>1903</v>
      </c>
    </row>
    <row r="2" spans="1:20" x14ac:dyDescent="0.3">
      <c r="A2" t="s">
        <v>15</v>
      </c>
      <c r="B2" s="1">
        <v>45254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3</v>
      </c>
      <c r="I2">
        <v>18000</v>
      </c>
      <c r="J2">
        <v>5</v>
      </c>
      <c r="K2">
        <v>2700</v>
      </c>
      <c r="L2">
        <v>51300</v>
      </c>
      <c r="M2">
        <v>6000.21</v>
      </c>
      <c r="N2" t="s">
        <v>21</v>
      </c>
      <c r="O2" t="s">
        <v>22</v>
      </c>
      <c r="P2" t="str">
        <f>IF(L2&gt;20000,"High Value","Low Value")</f>
        <v>High Value</v>
      </c>
      <c r="Q2" t="str">
        <f>IF(L2&gt;50000,"Premium",IF(L2&gt;20000,"High",IF(L2&gt;5000,"Medium","Low")))</f>
        <v>Premium</v>
      </c>
      <c r="R2" t="str" cm="1">
        <f t="array" ref="R2">_xlfn.IFS(L2&gt;50000,"Premium",L2&gt;20000,"High",L2&gt;5000,"Medium",TRUE,"Low")</f>
        <v>Premium</v>
      </c>
    </row>
    <row r="3" spans="1:20" x14ac:dyDescent="0.3">
      <c r="A3" t="s">
        <v>23</v>
      </c>
      <c r="B3" s="1">
        <v>44943</v>
      </c>
      <c r="C3" t="s">
        <v>24</v>
      </c>
      <c r="D3" t="s">
        <v>25</v>
      </c>
      <c r="E3" t="s">
        <v>26</v>
      </c>
      <c r="F3" t="s">
        <v>19</v>
      </c>
      <c r="G3" t="s">
        <v>20</v>
      </c>
      <c r="H3">
        <v>2</v>
      </c>
      <c r="I3">
        <v>18000</v>
      </c>
      <c r="J3">
        <v>5</v>
      </c>
      <c r="K3">
        <v>1800</v>
      </c>
      <c r="L3">
        <v>34200</v>
      </c>
      <c r="M3">
        <v>6894.95</v>
      </c>
      <c r="N3" t="s">
        <v>27</v>
      </c>
      <c r="O3" t="s">
        <v>22</v>
      </c>
      <c r="P3" t="str">
        <f t="shared" ref="P3:P66" si="0">IF(L3&gt;20000,"High Value","Low Value")</f>
        <v>High Value</v>
      </c>
      <c r="Q3" t="str">
        <f t="shared" ref="Q3:Q66" si="1">IF(L3&gt;50000,"Premium",IF(L3&gt;20000,"High",IF(L3&gt;5000,"Medium","Low")))</f>
        <v>High</v>
      </c>
      <c r="R3" t="str" cm="1">
        <f t="array" ref="R3">_xlfn.IFS(L3&gt;50000,"Premium",L3&gt;20000,"High",L3&gt;5000,"Medium",TRUE,"Low")</f>
        <v>High</v>
      </c>
      <c r="S3" s="2" t="s">
        <v>1894</v>
      </c>
      <c r="T3" s="11">
        <f>SUMIF(F2:F1001,"Electronics",L2:L1001)</f>
        <v>7251440</v>
      </c>
    </row>
    <row r="4" spans="1:20" x14ac:dyDescent="0.3">
      <c r="A4" t="s">
        <v>28</v>
      </c>
      <c r="B4" s="1">
        <v>45228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>
        <v>1</v>
      </c>
      <c r="I4">
        <v>400</v>
      </c>
      <c r="J4">
        <v>5</v>
      </c>
      <c r="K4">
        <v>20</v>
      </c>
      <c r="L4">
        <v>380</v>
      </c>
      <c r="M4">
        <v>98.59</v>
      </c>
      <c r="N4" t="s">
        <v>34</v>
      </c>
      <c r="O4" t="s">
        <v>35</v>
      </c>
      <c r="P4" t="str">
        <f t="shared" si="0"/>
        <v>Low Value</v>
      </c>
      <c r="Q4" t="str">
        <f t="shared" si="1"/>
        <v>Low</v>
      </c>
      <c r="R4" t="str" cm="1">
        <f t="array" ref="R4">_xlfn.IFS(L4&gt;50000,"Premium",L4&gt;20000,"High",L4&gt;5000,"Medium",TRUE,"Low")</f>
        <v>Low</v>
      </c>
      <c r="S4" s="2" t="s">
        <v>1890</v>
      </c>
      <c r="T4" s="11">
        <f>SUMIF(E2:E1001,"Bangalore",L2:L1001)</f>
        <v>2051852.85</v>
      </c>
    </row>
    <row r="5" spans="1:20" x14ac:dyDescent="0.3">
      <c r="A5" t="s">
        <v>36</v>
      </c>
      <c r="B5" s="1">
        <v>44974</v>
      </c>
      <c r="C5" t="s">
        <v>37</v>
      </c>
      <c r="D5" t="s">
        <v>38</v>
      </c>
      <c r="E5" t="s">
        <v>18</v>
      </c>
      <c r="F5" t="s">
        <v>39</v>
      </c>
      <c r="G5" t="s">
        <v>40</v>
      </c>
      <c r="H5">
        <v>3</v>
      </c>
      <c r="I5">
        <v>8500</v>
      </c>
      <c r="J5">
        <v>10</v>
      </c>
      <c r="K5">
        <v>2550</v>
      </c>
      <c r="L5">
        <v>22950</v>
      </c>
      <c r="M5">
        <v>5304.15</v>
      </c>
      <c r="N5" t="s">
        <v>41</v>
      </c>
      <c r="O5" t="s">
        <v>35</v>
      </c>
      <c r="P5" t="str">
        <f t="shared" si="0"/>
        <v>High Value</v>
      </c>
      <c r="Q5" t="str">
        <f t="shared" si="1"/>
        <v>High</v>
      </c>
      <c r="R5" t="str" cm="1">
        <f t="array" ref="R5">_xlfn.IFS(L5&gt;50000,"Premium",L5&gt;20000,"High",L5&gt;5000,"Medium",TRUE,"Low")</f>
        <v>High</v>
      </c>
      <c r="S5" s="2" t="s">
        <v>1891</v>
      </c>
      <c r="T5" s="11">
        <f>SUMIF(F2:F1001,"Sports",M2:M1001)</f>
        <v>256334.91000000003</v>
      </c>
    </row>
    <row r="6" spans="1:20" x14ac:dyDescent="0.3">
      <c r="A6" t="s">
        <v>42</v>
      </c>
      <c r="B6" s="1">
        <v>45209</v>
      </c>
      <c r="C6" t="s">
        <v>43</v>
      </c>
      <c r="D6" t="s">
        <v>44</v>
      </c>
      <c r="E6" t="s">
        <v>31</v>
      </c>
      <c r="F6" t="s">
        <v>32</v>
      </c>
      <c r="G6" t="s">
        <v>33</v>
      </c>
      <c r="H6">
        <v>5</v>
      </c>
      <c r="I6">
        <v>400</v>
      </c>
      <c r="J6">
        <v>10</v>
      </c>
      <c r="K6">
        <v>200</v>
      </c>
      <c r="L6">
        <v>1800</v>
      </c>
      <c r="M6">
        <v>401.77</v>
      </c>
      <c r="N6" t="s">
        <v>34</v>
      </c>
      <c r="O6" t="s">
        <v>35</v>
      </c>
      <c r="P6" t="str">
        <f t="shared" si="0"/>
        <v>Low Value</v>
      </c>
      <c r="Q6" t="str">
        <f t="shared" si="1"/>
        <v>Low</v>
      </c>
      <c r="R6" t="str" cm="1">
        <f t="array" ref="R6">_xlfn.IFS(L6&gt;50000,"Premium",L6&gt;20000,"High",L6&gt;5000,"Medium",TRUE,"Low")</f>
        <v>Low</v>
      </c>
      <c r="S6" s="2" t="s">
        <v>1892</v>
      </c>
      <c r="T6" s="11">
        <f>SUMIF(O2:O1001,"Delivered",L2:L1001)</f>
        <v>7695465.9999999991</v>
      </c>
    </row>
    <row r="7" spans="1:20" x14ac:dyDescent="0.3">
      <c r="A7" t="s">
        <v>45</v>
      </c>
      <c r="B7" s="1">
        <v>45046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>
        <v>4</v>
      </c>
      <c r="I7">
        <v>499</v>
      </c>
      <c r="J7">
        <v>10</v>
      </c>
      <c r="K7">
        <v>199.6</v>
      </c>
      <c r="L7">
        <v>1796.4</v>
      </c>
      <c r="M7">
        <v>334.17</v>
      </c>
      <c r="N7" t="s">
        <v>34</v>
      </c>
      <c r="O7" t="s">
        <v>35</v>
      </c>
      <c r="P7" t="str">
        <f t="shared" si="0"/>
        <v>Low Value</v>
      </c>
      <c r="Q7" t="str">
        <f t="shared" si="1"/>
        <v>Low</v>
      </c>
      <c r="R7" t="str" cm="1">
        <f t="array" ref="R7">_xlfn.IFS(L7&gt;50000,"Premium",L7&gt;20000,"High",L7&gt;5000,"Medium",TRUE,"Low")</f>
        <v>Low</v>
      </c>
      <c r="S7" s="2" t="s">
        <v>1893</v>
      </c>
      <c r="T7" s="11">
        <f>SUMIFS(L2:L1001,E2:E1001,"Bangalore",F2:F1001,"Electronics")</f>
        <v>1080435</v>
      </c>
    </row>
    <row r="8" spans="1:20" x14ac:dyDescent="0.3">
      <c r="A8" t="s">
        <v>51</v>
      </c>
      <c r="B8" s="1">
        <v>45270</v>
      </c>
      <c r="C8" t="s">
        <v>52</v>
      </c>
      <c r="D8" t="s">
        <v>53</v>
      </c>
      <c r="E8" t="s">
        <v>54</v>
      </c>
      <c r="F8" t="s">
        <v>32</v>
      </c>
      <c r="G8" t="s">
        <v>55</v>
      </c>
      <c r="H8">
        <v>1</v>
      </c>
      <c r="I8">
        <v>250</v>
      </c>
      <c r="J8">
        <v>20</v>
      </c>
      <c r="K8">
        <v>50</v>
      </c>
      <c r="L8">
        <v>200</v>
      </c>
      <c r="M8">
        <v>48.1</v>
      </c>
      <c r="N8" t="s">
        <v>41</v>
      </c>
      <c r="O8" t="s">
        <v>35</v>
      </c>
      <c r="P8" t="str">
        <f t="shared" si="0"/>
        <v>Low Value</v>
      </c>
      <c r="Q8" t="str">
        <f t="shared" si="1"/>
        <v>Low</v>
      </c>
      <c r="R8" t="str" cm="1">
        <f t="array" ref="R8">_xlfn.IFS(L8&gt;50000,"Premium",L8&gt;20000,"High",L8&gt;5000,"Medium",TRUE,"Low")</f>
        <v>Low</v>
      </c>
      <c r="S8" s="2" t="s">
        <v>1897</v>
      </c>
      <c r="T8">
        <f>COUNTIF(P2:P1001,"High Value")</f>
        <v>150</v>
      </c>
    </row>
    <row r="9" spans="1:20" x14ac:dyDescent="0.3">
      <c r="A9" t="s">
        <v>56</v>
      </c>
      <c r="B9" s="1">
        <v>45254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>
        <v>2</v>
      </c>
      <c r="I9">
        <v>850</v>
      </c>
      <c r="J9">
        <v>25</v>
      </c>
      <c r="K9">
        <v>425</v>
      </c>
      <c r="L9">
        <v>1275</v>
      </c>
      <c r="M9">
        <v>187.79</v>
      </c>
      <c r="N9" t="s">
        <v>34</v>
      </c>
      <c r="O9" t="s">
        <v>22</v>
      </c>
      <c r="P9" t="str">
        <f t="shared" si="0"/>
        <v>Low Value</v>
      </c>
      <c r="Q9" t="str">
        <f t="shared" si="1"/>
        <v>Low</v>
      </c>
      <c r="R9" t="str" cm="1">
        <f t="array" ref="R9">_xlfn.IFS(L9&gt;50000,"Premium",L9&gt;20000,"High",L9&gt;5000,"Medium",TRUE,"Low")</f>
        <v>Low</v>
      </c>
      <c r="S9" s="2" t="s">
        <v>1898</v>
      </c>
      <c r="T9">
        <f>COUNTIF(P1:P1001,"Low Value")</f>
        <v>850</v>
      </c>
    </row>
    <row r="10" spans="1:20" x14ac:dyDescent="0.3">
      <c r="A10" t="s">
        <v>62</v>
      </c>
      <c r="B10" s="1">
        <v>45064</v>
      </c>
      <c r="C10" t="s">
        <v>63</v>
      </c>
      <c r="D10" t="s">
        <v>64</v>
      </c>
      <c r="E10" t="s">
        <v>54</v>
      </c>
      <c r="F10" t="s">
        <v>19</v>
      </c>
      <c r="G10" t="s">
        <v>65</v>
      </c>
      <c r="H10">
        <v>5</v>
      </c>
      <c r="I10">
        <v>55000</v>
      </c>
      <c r="J10">
        <v>25</v>
      </c>
      <c r="K10">
        <v>68750</v>
      </c>
      <c r="L10">
        <v>206250</v>
      </c>
      <c r="M10">
        <v>29783.19</v>
      </c>
      <c r="N10" t="s">
        <v>27</v>
      </c>
      <c r="O10" t="s">
        <v>35</v>
      </c>
      <c r="P10" t="str">
        <f t="shared" si="0"/>
        <v>High Value</v>
      </c>
      <c r="Q10" t="str">
        <f t="shared" si="1"/>
        <v>Premium</v>
      </c>
      <c r="R10" t="str" cm="1">
        <f t="array" ref="R10">_xlfn.IFS(L10&gt;50000,"Premium",L10&gt;20000,"High",L10&gt;5000,"Medium",TRUE,"Low")</f>
        <v>Premium</v>
      </c>
      <c r="S10" s="2" t="s">
        <v>1899</v>
      </c>
      <c r="T10">
        <f>COUNTIF(Q:Q,"Premium")</f>
        <v>77</v>
      </c>
    </row>
    <row r="11" spans="1:20" x14ac:dyDescent="0.3">
      <c r="A11" t="s">
        <v>66</v>
      </c>
      <c r="B11" s="1">
        <v>44998</v>
      </c>
      <c r="C11" t="s">
        <v>67</v>
      </c>
      <c r="D11" t="s">
        <v>68</v>
      </c>
      <c r="E11" t="s">
        <v>26</v>
      </c>
      <c r="F11" t="s">
        <v>69</v>
      </c>
      <c r="G11" t="s">
        <v>70</v>
      </c>
      <c r="H11">
        <v>5</v>
      </c>
      <c r="I11">
        <v>2499</v>
      </c>
      <c r="J11">
        <v>20</v>
      </c>
      <c r="K11">
        <v>2499</v>
      </c>
      <c r="L11">
        <v>9996</v>
      </c>
      <c r="M11">
        <v>1287.71</v>
      </c>
      <c r="N11" t="s">
        <v>34</v>
      </c>
      <c r="O11" t="s">
        <v>35</v>
      </c>
      <c r="P11" t="str">
        <f t="shared" si="0"/>
        <v>Low Value</v>
      </c>
      <c r="Q11" t="str">
        <f t="shared" si="1"/>
        <v>Medium</v>
      </c>
      <c r="R11" t="str" cm="1">
        <f t="array" ref="R11">_xlfn.IFS(L11&gt;50000,"Premium",L11&gt;20000,"High",L11&gt;5000,"Medium",TRUE,"Low")</f>
        <v>Medium</v>
      </c>
      <c r="S11" s="2" t="s">
        <v>1900</v>
      </c>
      <c r="T11">
        <f>COUNTIF(Q:Q,"High")</f>
        <v>73</v>
      </c>
    </row>
    <row r="12" spans="1:20" x14ac:dyDescent="0.3">
      <c r="A12" t="s">
        <v>71</v>
      </c>
      <c r="B12" s="1">
        <v>44997</v>
      </c>
      <c r="C12" t="s">
        <v>72</v>
      </c>
      <c r="D12" t="s">
        <v>73</v>
      </c>
      <c r="E12" t="s">
        <v>18</v>
      </c>
      <c r="F12" t="s">
        <v>74</v>
      </c>
      <c r="G12" t="s">
        <v>75</v>
      </c>
      <c r="H12">
        <v>1</v>
      </c>
      <c r="I12">
        <v>2200</v>
      </c>
      <c r="J12">
        <v>0</v>
      </c>
      <c r="K12">
        <v>0</v>
      </c>
      <c r="L12">
        <v>2200</v>
      </c>
      <c r="M12">
        <v>678.33</v>
      </c>
      <c r="N12" t="s">
        <v>41</v>
      </c>
      <c r="O12" t="s">
        <v>22</v>
      </c>
      <c r="P12" t="str">
        <f t="shared" si="0"/>
        <v>Low Value</v>
      </c>
      <c r="Q12" t="str">
        <f t="shared" si="1"/>
        <v>Low</v>
      </c>
      <c r="R12" t="str" cm="1">
        <f t="array" ref="R12">_xlfn.IFS(L12&gt;50000,"Premium",L12&gt;20000,"High",L12&gt;5000,"Medium",TRUE,"Low")</f>
        <v>Low</v>
      </c>
      <c r="S12" s="2" t="s">
        <v>1901</v>
      </c>
      <c r="T12">
        <f>COUNTIF(Q:Q,"Medium")</f>
        <v>242</v>
      </c>
    </row>
    <row r="13" spans="1:20" x14ac:dyDescent="0.3">
      <c r="A13" t="s">
        <v>76</v>
      </c>
      <c r="B13" s="1">
        <v>45232</v>
      </c>
      <c r="C13" t="s">
        <v>77</v>
      </c>
      <c r="D13" t="s">
        <v>17</v>
      </c>
      <c r="E13" t="s">
        <v>78</v>
      </c>
      <c r="F13" t="s">
        <v>39</v>
      </c>
      <c r="G13" t="s">
        <v>79</v>
      </c>
      <c r="H13">
        <v>3</v>
      </c>
      <c r="I13">
        <v>25000</v>
      </c>
      <c r="J13">
        <v>20</v>
      </c>
      <c r="K13">
        <v>15000</v>
      </c>
      <c r="L13">
        <v>60000</v>
      </c>
      <c r="M13">
        <v>18494.03</v>
      </c>
      <c r="N13" t="s">
        <v>34</v>
      </c>
      <c r="O13" t="s">
        <v>35</v>
      </c>
      <c r="P13" t="str">
        <f t="shared" si="0"/>
        <v>High Value</v>
      </c>
      <c r="Q13" t="str">
        <f t="shared" si="1"/>
        <v>Premium</v>
      </c>
      <c r="R13" t="str" cm="1">
        <f t="array" ref="R13">_xlfn.IFS(L13&gt;50000,"Premium",L13&gt;20000,"High",L13&gt;5000,"Medium",TRUE,"Low")</f>
        <v>Premium</v>
      </c>
      <c r="S13" s="2" t="s">
        <v>1902</v>
      </c>
      <c r="T13">
        <f>COUNTIF(Q:Q,"Low")</f>
        <v>608</v>
      </c>
    </row>
    <row r="14" spans="1:20" x14ac:dyDescent="0.3">
      <c r="A14" t="s">
        <v>80</v>
      </c>
      <c r="B14" s="1">
        <v>45077</v>
      </c>
      <c r="C14" t="s">
        <v>81</v>
      </c>
      <c r="D14" t="s">
        <v>82</v>
      </c>
      <c r="E14" t="s">
        <v>83</v>
      </c>
      <c r="F14" t="s">
        <v>39</v>
      </c>
      <c r="G14" t="s">
        <v>84</v>
      </c>
      <c r="H14">
        <v>4</v>
      </c>
      <c r="I14">
        <v>6500</v>
      </c>
      <c r="J14">
        <v>0</v>
      </c>
      <c r="K14">
        <v>0</v>
      </c>
      <c r="L14">
        <v>26000</v>
      </c>
      <c r="M14">
        <v>8739.76</v>
      </c>
      <c r="N14" t="s">
        <v>21</v>
      </c>
      <c r="O14" t="s">
        <v>35</v>
      </c>
      <c r="P14" t="str">
        <f t="shared" si="0"/>
        <v>High Value</v>
      </c>
      <c r="Q14" t="str">
        <f t="shared" si="1"/>
        <v>High</v>
      </c>
      <c r="R14" t="str" cm="1">
        <f t="array" ref="R14">_xlfn.IFS(L14&gt;50000,"Premium",L14&gt;20000,"High",L14&gt;5000,"Medium",TRUE,"Low")</f>
        <v>High</v>
      </c>
    </row>
    <row r="15" spans="1:20" x14ac:dyDescent="0.3">
      <c r="A15" t="s">
        <v>85</v>
      </c>
      <c r="B15" s="1">
        <v>45247</v>
      </c>
      <c r="C15" t="s">
        <v>86</v>
      </c>
      <c r="D15" t="s">
        <v>87</v>
      </c>
      <c r="E15" t="s">
        <v>59</v>
      </c>
      <c r="F15" t="s">
        <v>32</v>
      </c>
      <c r="G15" t="s">
        <v>33</v>
      </c>
      <c r="H15">
        <v>5</v>
      </c>
      <c r="I15">
        <v>400</v>
      </c>
      <c r="J15">
        <v>20</v>
      </c>
      <c r="K15">
        <v>400</v>
      </c>
      <c r="L15">
        <v>1600</v>
      </c>
      <c r="M15">
        <v>175.48</v>
      </c>
      <c r="N15" t="s">
        <v>21</v>
      </c>
      <c r="O15" t="s">
        <v>35</v>
      </c>
      <c r="P15" t="str">
        <f t="shared" si="0"/>
        <v>Low Value</v>
      </c>
      <c r="Q15" t="str">
        <f t="shared" si="1"/>
        <v>Low</v>
      </c>
      <c r="R15" t="str" cm="1">
        <f t="array" ref="R15">_xlfn.IFS(L15&gt;50000,"Premium",L15&gt;20000,"High",L15&gt;5000,"Medium",TRUE,"Low")</f>
        <v>Low</v>
      </c>
    </row>
    <row r="16" spans="1:20" x14ac:dyDescent="0.3">
      <c r="A16" t="s">
        <v>88</v>
      </c>
      <c r="B16" s="1">
        <v>45177</v>
      </c>
      <c r="C16" t="s">
        <v>89</v>
      </c>
      <c r="D16" t="s">
        <v>90</v>
      </c>
      <c r="E16" t="s">
        <v>18</v>
      </c>
      <c r="F16" t="s">
        <v>19</v>
      </c>
      <c r="G16" t="s">
        <v>20</v>
      </c>
      <c r="H16">
        <v>3</v>
      </c>
      <c r="I16">
        <v>18000</v>
      </c>
      <c r="J16">
        <v>10</v>
      </c>
      <c r="K16">
        <v>5400</v>
      </c>
      <c r="L16">
        <v>48600</v>
      </c>
      <c r="M16">
        <v>5921.21</v>
      </c>
      <c r="N16" t="s">
        <v>41</v>
      </c>
      <c r="O16" t="s">
        <v>35</v>
      </c>
      <c r="P16" t="str">
        <f t="shared" si="0"/>
        <v>High Value</v>
      </c>
      <c r="Q16" t="str">
        <f t="shared" si="1"/>
        <v>High</v>
      </c>
      <c r="R16" t="str" cm="1">
        <f t="array" ref="R16">_xlfn.IFS(L16&gt;50000,"Premium",L16&gt;20000,"High",L16&gt;5000,"Medium",TRUE,"Low")</f>
        <v>High</v>
      </c>
    </row>
    <row r="17" spans="1:18" x14ac:dyDescent="0.3">
      <c r="A17" t="s">
        <v>91</v>
      </c>
      <c r="B17" s="1">
        <v>45199</v>
      </c>
      <c r="C17" t="s">
        <v>92</v>
      </c>
      <c r="D17" t="s">
        <v>93</v>
      </c>
      <c r="E17" t="s">
        <v>26</v>
      </c>
      <c r="F17" t="s">
        <v>49</v>
      </c>
      <c r="G17" t="s">
        <v>94</v>
      </c>
      <c r="H17">
        <v>2</v>
      </c>
      <c r="I17">
        <v>399</v>
      </c>
      <c r="J17">
        <v>25</v>
      </c>
      <c r="K17">
        <v>199.5</v>
      </c>
      <c r="L17">
        <v>598.5</v>
      </c>
      <c r="M17">
        <v>115.26</v>
      </c>
      <c r="N17" t="s">
        <v>27</v>
      </c>
      <c r="O17" t="s">
        <v>95</v>
      </c>
      <c r="P17" t="str">
        <f t="shared" si="0"/>
        <v>Low Value</v>
      </c>
      <c r="Q17" t="str">
        <f t="shared" si="1"/>
        <v>Low</v>
      </c>
      <c r="R17" t="str" cm="1">
        <f t="array" ref="R17">_xlfn.IFS(L17&gt;50000,"Premium",L17&gt;20000,"High",L17&gt;5000,"Medium",TRUE,"Low")</f>
        <v>Low</v>
      </c>
    </row>
    <row r="18" spans="1:18" x14ac:dyDescent="0.3">
      <c r="A18" t="s">
        <v>96</v>
      </c>
      <c r="B18" s="1">
        <v>45280</v>
      </c>
      <c r="C18" t="s">
        <v>97</v>
      </c>
      <c r="D18" t="s">
        <v>98</v>
      </c>
      <c r="E18" t="s">
        <v>54</v>
      </c>
      <c r="F18" t="s">
        <v>69</v>
      </c>
      <c r="G18" t="s">
        <v>70</v>
      </c>
      <c r="H18">
        <v>3</v>
      </c>
      <c r="I18">
        <v>2499</v>
      </c>
      <c r="J18">
        <v>15</v>
      </c>
      <c r="K18">
        <v>1124.55</v>
      </c>
      <c r="L18">
        <v>6372.45</v>
      </c>
      <c r="M18">
        <v>2221.08</v>
      </c>
      <c r="N18" t="s">
        <v>99</v>
      </c>
      <c r="O18" t="s">
        <v>35</v>
      </c>
      <c r="P18" t="str">
        <f t="shared" si="0"/>
        <v>Low Value</v>
      </c>
      <c r="Q18" t="str">
        <f t="shared" si="1"/>
        <v>Medium</v>
      </c>
      <c r="R18" t="str" cm="1">
        <f t="array" ref="R18">_xlfn.IFS(L18&gt;50000,"Premium",L18&gt;20000,"High",L18&gt;5000,"Medium",TRUE,"Low")</f>
        <v>Medium</v>
      </c>
    </row>
    <row r="19" spans="1:18" x14ac:dyDescent="0.3">
      <c r="A19" t="s">
        <v>100</v>
      </c>
      <c r="B19" s="1">
        <v>45042</v>
      </c>
      <c r="C19" t="s">
        <v>101</v>
      </c>
      <c r="D19" t="s">
        <v>102</v>
      </c>
      <c r="E19" t="s">
        <v>18</v>
      </c>
      <c r="F19" t="s">
        <v>19</v>
      </c>
      <c r="G19" t="s">
        <v>103</v>
      </c>
      <c r="H19">
        <v>1</v>
      </c>
      <c r="I19">
        <v>3500</v>
      </c>
      <c r="J19">
        <v>20</v>
      </c>
      <c r="K19">
        <v>700</v>
      </c>
      <c r="L19">
        <v>2800</v>
      </c>
      <c r="M19">
        <v>605.29</v>
      </c>
      <c r="N19" t="s">
        <v>99</v>
      </c>
      <c r="O19" t="s">
        <v>35</v>
      </c>
      <c r="P19" t="str">
        <f t="shared" si="0"/>
        <v>Low Value</v>
      </c>
      <c r="Q19" t="str">
        <f t="shared" si="1"/>
        <v>Low</v>
      </c>
      <c r="R19" t="str" cm="1">
        <f t="array" ref="R19">_xlfn.IFS(L19&gt;50000,"Premium",L19&gt;20000,"High",L19&gt;5000,"Medium",TRUE,"Low")</f>
        <v>Low</v>
      </c>
    </row>
    <row r="20" spans="1:18" x14ac:dyDescent="0.3">
      <c r="A20" t="s">
        <v>104</v>
      </c>
      <c r="B20" s="1">
        <v>44961</v>
      </c>
      <c r="C20" t="s">
        <v>105</v>
      </c>
      <c r="D20" t="s">
        <v>106</v>
      </c>
      <c r="E20" t="s">
        <v>83</v>
      </c>
      <c r="F20" t="s">
        <v>19</v>
      </c>
      <c r="G20" t="s">
        <v>107</v>
      </c>
      <c r="H20">
        <v>3</v>
      </c>
      <c r="I20">
        <v>4500</v>
      </c>
      <c r="J20">
        <v>0</v>
      </c>
      <c r="K20">
        <v>0</v>
      </c>
      <c r="L20">
        <v>13500</v>
      </c>
      <c r="M20">
        <v>2757.33</v>
      </c>
      <c r="N20" t="s">
        <v>21</v>
      </c>
      <c r="O20" t="s">
        <v>95</v>
      </c>
      <c r="P20" t="str">
        <f t="shared" si="0"/>
        <v>Low Value</v>
      </c>
      <c r="Q20" t="str">
        <f t="shared" si="1"/>
        <v>Medium</v>
      </c>
      <c r="R20" t="str" cm="1">
        <f t="array" ref="R20">_xlfn.IFS(L20&gt;50000,"Premium",L20&gt;20000,"High",L20&gt;5000,"Medium",TRUE,"Low")</f>
        <v>Medium</v>
      </c>
    </row>
    <row r="21" spans="1:18" x14ac:dyDescent="0.3">
      <c r="A21" t="s">
        <v>108</v>
      </c>
      <c r="B21" s="1">
        <v>45169</v>
      </c>
      <c r="C21" t="s">
        <v>109</v>
      </c>
      <c r="D21" t="s">
        <v>110</v>
      </c>
      <c r="E21" t="s">
        <v>26</v>
      </c>
      <c r="F21" t="s">
        <v>69</v>
      </c>
      <c r="G21" t="s">
        <v>111</v>
      </c>
      <c r="H21">
        <v>4</v>
      </c>
      <c r="I21">
        <v>3499</v>
      </c>
      <c r="J21">
        <v>15</v>
      </c>
      <c r="K21">
        <v>2099.4</v>
      </c>
      <c r="L21">
        <v>11896.6</v>
      </c>
      <c r="M21">
        <v>1274.4000000000001</v>
      </c>
      <c r="N21" t="s">
        <v>41</v>
      </c>
      <c r="O21" t="s">
        <v>22</v>
      </c>
      <c r="P21" t="str">
        <f t="shared" si="0"/>
        <v>Low Value</v>
      </c>
      <c r="Q21" t="str">
        <f t="shared" si="1"/>
        <v>Medium</v>
      </c>
      <c r="R21" t="str" cm="1">
        <f t="array" ref="R21">_xlfn.IFS(L21&gt;50000,"Premium",L21&gt;20000,"High",L21&gt;5000,"Medium",TRUE,"Low")</f>
        <v>Medium</v>
      </c>
    </row>
    <row r="22" spans="1:18" x14ac:dyDescent="0.3">
      <c r="A22" t="s">
        <v>112</v>
      </c>
      <c r="B22" s="1">
        <v>44954</v>
      </c>
      <c r="C22" t="s">
        <v>113</v>
      </c>
      <c r="D22" t="s">
        <v>114</v>
      </c>
      <c r="E22" t="s">
        <v>31</v>
      </c>
      <c r="F22" t="s">
        <v>60</v>
      </c>
      <c r="G22" t="s">
        <v>115</v>
      </c>
      <c r="H22">
        <v>1</v>
      </c>
      <c r="I22">
        <v>1800</v>
      </c>
      <c r="J22">
        <v>0</v>
      </c>
      <c r="K22">
        <v>0</v>
      </c>
      <c r="L22">
        <v>1800</v>
      </c>
      <c r="M22">
        <v>307.42</v>
      </c>
      <c r="N22" t="s">
        <v>27</v>
      </c>
      <c r="O22" t="s">
        <v>95</v>
      </c>
      <c r="P22" t="str">
        <f t="shared" si="0"/>
        <v>Low Value</v>
      </c>
      <c r="Q22" t="str">
        <f t="shared" si="1"/>
        <v>Low</v>
      </c>
      <c r="R22" t="str" cm="1">
        <f t="array" ref="R22">_xlfn.IFS(L22&gt;50000,"Premium",L22&gt;20000,"High",L22&gt;5000,"Medium",TRUE,"Low")</f>
        <v>Low</v>
      </c>
    </row>
    <row r="23" spans="1:18" x14ac:dyDescent="0.3">
      <c r="A23" t="s">
        <v>116</v>
      </c>
      <c r="B23" s="1">
        <v>45156</v>
      </c>
      <c r="C23" t="s">
        <v>117</v>
      </c>
      <c r="D23" t="s">
        <v>118</v>
      </c>
      <c r="E23" t="s">
        <v>18</v>
      </c>
      <c r="F23" t="s">
        <v>69</v>
      </c>
      <c r="G23" t="s">
        <v>119</v>
      </c>
      <c r="H23">
        <v>2</v>
      </c>
      <c r="I23">
        <v>2500</v>
      </c>
      <c r="J23">
        <v>10</v>
      </c>
      <c r="K23">
        <v>500</v>
      </c>
      <c r="L23">
        <v>4500</v>
      </c>
      <c r="M23">
        <v>849.55</v>
      </c>
      <c r="N23" t="s">
        <v>99</v>
      </c>
      <c r="O23" t="s">
        <v>95</v>
      </c>
      <c r="P23" t="str">
        <f t="shared" si="0"/>
        <v>Low Value</v>
      </c>
      <c r="Q23" t="str">
        <f t="shared" si="1"/>
        <v>Low</v>
      </c>
      <c r="R23" t="str" cm="1">
        <f t="array" ref="R23">_xlfn.IFS(L23&gt;50000,"Premium",L23&gt;20000,"High",L23&gt;5000,"Medium",TRUE,"Low")</f>
        <v>Low</v>
      </c>
    </row>
    <row r="24" spans="1:18" x14ac:dyDescent="0.3">
      <c r="A24" t="s">
        <v>120</v>
      </c>
      <c r="B24" s="1">
        <v>44934</v>
      </c>
      <c r="C24" t="s">
        <v>121</v>
      </c>
      <c r="D24" t="s">
        <v>122</v>
      </c>
      <c r="E24" t="s">
        <v>59</v>
      </c>
      <c r="F24" t="s">
        <v>19</v>
      </c>
      <c r="G24" t="s">
        <v>107</v>
      </c>
      <c r="H24">
        <v>2</v>
      </c>
      <c r="I24">
        <v>4500</v>
      </c>
      <c r="J24">
        <v>5</v>
      </c>
      <c r="K24">
        <v>450</v>
      </c>
      <c r="L24">
        <v>8550</v>
      </c>
      <c r="M24">
        <v>1469.95</v>
      </c>
      <c r="N24" t="s">
        <v>27</v>
      </c>
      <c r="O24" t="s">
        <v>22</v>
      </c>
      <c r="P24" t="str">
        <f t="shared" si="0"/>
        <v>Low Value</v>
      </c>
      <c r="Q24" t="str">
        <f t="shared" si="1"/>
        <v>Medium</v>
      </c>
      <c r="R24" t="str" cm="1">
        <f t="array" ref="R24">_xlfn.IFS(L24&gt;50000,"Premium",L24&gt;20000,"High",L24&gt;5000,"Medium",TRUE,"Low")</f>
        <v>Medium</v>
      </c>
    </row>
    <row r="25" spans="1:18" x14ac:dyDescent="0.3">
      <c r="A25" t="s">
        <v>123</v>
      </c>
      <c r="B25" s="1">
        <v>44928</v>
      </c>
      <c r="C25" t="s">
        <v>124</v>
      </c>
      <c r="D25" t="s">
        <v>125</v>
      </c>
      <c r="E25" t="s">
        <v>83</v>
      </c>
      <c r="F25" t="s">
        <v>39</v>
      </c>
      <c r="G25" t="s">
        <v>126</v>
      </c>
      <c r="H25">
        <v>4</v>
      </c>
      <c r="I25">
        <v>4200</v>
      </c>
      <c r="J25">
        <v>10</v>
      </c>
      <c r="K25">
        <v>1680</v>
      </c>
      <c r="L25">
        <v>15120</v>
      </c>
      <c r="M25">
        <v>2674.76</v>
      </c>
      <c r="N25" t="s">
        <v>27</v>
      </c>
      <c r="O25" t="s">
        <v>35</v>
      </c>
      <c r="P25" t="str">
        <f t="shared" si="0"/>
        <v>Low Value</v>
      </c>
      <c r="Q25" t="str">
        <f t="shared" si="1"/>
        <v>Medium</v>
      </c>
      <c r="R25" t="str" cm="1">
        <f t="array" ref="R25">_xlfn.IFS(L25&gt;50000,"Premium",L25&gt;20000,"High",L25&gt;5000,"Medium",TRUE,"Low")</f>
        <v>Medium</v>
      </c>
    </row>
    <row r="26" spans="1:18" x14ac:dyDescent="0.3">
      <c r="A26" t="s">
        <v>127</v>
      </c>
      <c r="B26" s="1">
        <v>45038</v>
      </c>
      <c r="C26" t="s">
        <v>128</v>
      </c>
      <c r="D26" t="s">
        <v>129</v>
      </c>
      <c r="E26" t="s">
        <v>54</v>
      </c>
      <c r="F26" t="s">
        <v>19</v>
      </c>
      <c r="G26" t="s">
        <v>130</v>
      </c>
      <c r="H26">
        <v>5</v>
      </c>
      <c r="I26">
        <v>22000</v>
      </c>
      <c r="J26">
        <v>0</v>
      </c>
      <c r="K26">
        <v>0</v>
      </c>
      <c r="L26">
        <v>110000</v>
      </c>
      <c r="M26">
        <v>30183.19</v>
      </c>
      <c r="N26" t="s">
        <v>21</v>
      </c>
      <c r="O26" t="s">
        <v>95</v>
      </c>
      <c r="P26" t="str">
        <f t="shared" si="0"/>
        <v>High Value</v>
      </c>
      <c r="Q26" t="str">
        <f t="shared" si="1"/>
        <v>Premium</v>
      </c>
      <c r="R26" t="str" cm="1">
        <f t="array" ref="R26">_xlfn.IFS(L26&gt;50000,"Premium",L26&gt;20000,"High",L26&gt;5000,"Medium",TRUE,"Low")</f>
        <v>Premium</v>
      </c>
    </row>
    <row r="27" spans="1:18" x14ac:dyDescent="0.3">
      <c r="A27" t="s">
        <v>131</v>
      </c>
      <c r="B27" s="1">
        <v>45007</v>
      </c>
      <c r="C27" t="s">
        <v>132</v>
      </c>
      <c r="D27" t="s">
        <v>133</v>
      </c>
      <c r="E27" t="s">
        <v>18</v>
      </c>
      <c r="F27" t="s">
        <v>19</v>
      </c>
      <c r="G27" t="s">
        <v>130</v>
      </c>
      <c r="H27">
        <v>1</v>
      </c>
      <c r="I27">
        <v>22000</v>
      </c>
      <c r="J27">
        <v>5</v>
      </c>
      <c r="K27">
        <v>1100</v>
      </c>
      <c r="L27">
        <v>20900</v>
      </c>
      <c r="M27">
        <v>1474.63</v>
      </c>
      <c r="N27" t="s">
        <v>21</v>
      </c>
      <c r="O27" t="s">
        <v>35</v>
      </c>
      <c r="P27" t="str">
        <f t="shared" si="0"/>
        <v>High Value</v>
      </c>
      <c r="Q27" t="str">
        <f t="shared" si="1"/>
        <v>High</v>
      </c>
      <c r="R27" t="str" cm="1">
        <f t="array" ref="R27">_xlfn.IFS(L27&gt;50000,"Premium",L27&gt;20000,"High",L27&gt;5000,"Medium",TRUE,"Low")</f>
        <v>High</v>
      </c>
    </row>
    <row r="28" spans="1:18" x14ac:dyDescent="0.3">
      <c r="A28" t="s">
        <v>134</v>
      </c>
      <c r="B28" s="1">
        <v>45223</v>
      </c>
      <c r="C28" t="s">
        <v>135</v>
      </c>
      <c r="D28" t="s">
        <v>136</v>
      </c>
      <c r="E28" t="s">
        <v>48</v>
      </c>
      <c r="F28" t="s">
        <v>74</v>
      </c>
      <c r="G28" t="s">
        <v>137</v>
      </c>
      <c r="H28">
        <v>5</v>
      </c>
      <c r="I28">
        <v>2500</v>
      </c>
      <c r="J28">
        <v>0</v>
      </c>
      <c r="K28">
        <v>0</v>
      </c>
      <c r="L28">
        <v>12500</v>
      </c>
      <c r="M28">
        <v>2197.09</v>
      </c>
      <c r="N28" t="s">
        <v>34</v>
      </c>
      <c r="O28" t="s">
        <v>35</v>
      </c>
      <c r="P28" t="str">
        <f t="shared" si="0"/>
        <v>Low Value</v>
      </c>
      <c r="Q28" t="str">
        <f t="shared" si="1"/>
        <v>Medium</v>
      </c>
      <c r="R28" t="str" cm="1">
        <f t="array" ref="R28">_xlfn.IFS(L28&gt;50000,"Premium",L28&gt;20000,"High",L28&gt;5000,"Medium",TRUE,"Low")</f>
        <v>Medium</v>
      </c>
    </row>
    <row r="29" spans="1:18" x14ac:dyDescent="0.3">
      <c r="A29" t="s">
        <v>138</v>
      </c>
      <c r="B29" s="1">
        <v>45269</v>
      </c>
      <c r="C29" t="s">
        <v>139</v>
      </c>
      <c r="D29" t="s">
        <v>140</v>
      </c>
      <c r="E29" t="s">
        <v>48</v>
      </c>
      <c r="F29" t="s">
        <v>60</v>
      </c>
      <c r="G29" t="s">
        <v>141</v>
      </c>
      <c r="H29">
        <v>2</v>
      </c>
      <c r="I29">
        <v>350</v>
      </c>
      <c r="J29">
        <v>10</v>
      </c>
      <c r="K29">
        <v>70</v>
      </c>
      <c r="L29">
        <v>630</v>
      </c>
      <c r="M29">
        <v>106.3</v>
      </c>
      <c r="N29" t="s">
        <v>99</v>
      </c>
      <c r="O29" t="s">
        <v>35</v>
      </c>
      <c r="P29" t="str">
        <f t="shared" si="0"/>
        <v>Low Value</v>
      </c>
      <c r="Q29" t="str">
        <f t="shared" si="1"/>
        <v>Low</v>
      </c>
      <c r="R29" t="str" cm="1">
        <f t="array" ref="R29">_xlfn.IFS(L29&gt;50000,"Premium",L29&gt;20000,"High",L29&gt;5000,"Medium",TRUE,"Low")</f>
        <v>Low</v>
      </c>
    </row>
    <row r="30" spans="1:18" x14ac:dyDescent="0.3">
      <c r="A30" t="s">
        <v>142</v>
      </c>
      <c r="B30" s="1">
        <v>45161</v>
      </c>
      <c r="C30" t="s">
        <v>143</v>
      </c>
      <c r="D30" t="s">
        <v>30</v>
      </c>
      <c r="E30" t="s">
        <v>48</v>
      </c>
      <c r="F30" t="s">
        <v>74</v>
      </c>
      <c r="G30" t="s">
        <v>144</v>
      </c>
      <c r="H30">
        <v>1</v>
      </c>
      <c r="I30">
        <v>1500</v>
      </c>
      <c r="J30">
        <v>0</v>
      </c>
      <c r="K30">
        <v>0</v>
      </c>
      <c r="L30">
        <v>1500</v>
      </c>
      <c r="M30">
        <v>316.94</v>
      </c>
      <c r="N30" t="s">
        <v>99</v>
      </c>
      <c r="O30" t="s">
        <v>35</v>
      </c>
      <c r="P30" t="str">
        <f t="shared" si="0"/>
        <v>Low Value</v>
      </c>
      <c r="Q30" t="str">
        <f t="shared" si="1"/>
        <v>Low</v>
      </c>
      <c r="R30" t="str" cm="1">
        <f t="array" ref="R30">_xlfn.IFS(L30&gt;50000,"Premium",L30&gt;20000,"High",L30&gt;5000,"Medium",TRUE,"Low")</f>
        <v>Low</v>
      </c>
    </row>
    <row r="31" spans="1:18" x14ac:dyDescent="0.3">
      <c r="A31" t="s">
        <v>145</v>
      </c>
      <c r="B31" s="1">
        <v>45116</v>
      </c>
      <c r="C31" t="s">
        <v>146</v>
      </c>
      <c r="D31" t="s">
        <v>147</v>
      </c>
      <c r="E31" t="s">
        <v>78</v>
      </c>
      <c r="F31" t="s">
        <v>32</v>
      </c>
      <c r="G31" t="s">
        <v>148</v>
      </c>
      <c r="H31">
        <v>4</v>
      </c>
      <c r="I31">
        <v>120</v>
      </c>
      <c r="J31">
        <v>20</v>
      </c>
      <c r="K31">
        <v>96</v>
      </c>
      <c r="L31">
        <v>384</v>
      </c>
      <c r="M31">
        <v>100.25</v>
      </c>
      <c r="N31" t="s">
        <v>99</v>
      </c>
      <c r="O31" t="s">
        <v>35</v>
      </c>
      <c r="P31" t="str">
        <f t="shared" si="0"/>
        <v>Low Value</v>
      </c>
      <c r="Q31" t="str">
        <f t="shared" si="1"/>
        <v>Low</v>
      </c>
      <c r="R31" t="str" cm="1">
        <f t="array" ref="R31">_xlfn.IFS(L31&gt;50000,"Premium",L31&gt;20000,"High",L31&gt;5000,"Medium",TRUE,"Low")</f>
        <v>Low</v>
      </c>
    </row>
    <row r="32" spans="1:18" x14ac:dyDescent="0.3">
      <c r="A32" t="s">
        <v>149</v>
      </c>
      <c r="B32" s="1">
        <v>45062</v>
      </c>
      <c r="C32" t="s">
        <v>150</v>
      </c>
      <c r="D32" t="s">
        <v>151</v>
      </c>
      <c r="E32" t="s">
        <v>31</v>
      </c>
      <c r="F32" t="s">
        <v>19</v>
      </c>
      <c r="G32" t="s">
        <v>20</v>
      </c>
      <c r="H32">
        <v>5</v>
      </c>
      <c r="I32">
        <v>18000</v>
      </c>
      <c r="J32">
        <v>5</v>
      </c>
      <c r="K32">
        <v>4500</v>
      </c>
      <c r="L32">
        <v>85500</v>
      </c>
      <c r="M32">
        <v>11260.73</v>
      </c>
      <c r="N32" t="s">
        <v>34</v>
      </c>
      <c r="O32" t="s">
        <v>95</v>
      </c>
      <c r="P32" t="str">
        <f t="shared" si="0"/>
        <v>High Value</v>
      </c>
      <c r="Q32" t="str">
        <f t="shared" si="1"/>
        <v>Premium</v>
      </c>
      <c r="R32" t="str" cm="1">
        <f t="array" ref="R32">_xlfn.IFS(L32&gt;50000,"Premium",L32&gt;20000,"High",L32&gt;5000,"Medium",TRUE,"Low")</f>
        <v>Premium</v>
      </c>
    </row>
    <row r="33" spans="1:18" x14ac:dyDescent="0.3">
      <c r="A33" t="s">
        <v>152</v>
      </c>
      <c r="B33" s="1">
        <v>45177</v>
      </c>
      <c r="C33" t="s">
        <v>153</v>
      </c>
      <c r="D33" t="s">
        <v>154</v>
      </c>
      <c r="E33" t="s">
        <v>59</v>
      </c>
      <c r="F33" t="s">
        <v>32</v>
      </c>
      <c r="G33" t="s">
        <v>33</v>
      </c>
      <c r="H33">
        <v>1</v>
      </c>
      <c r="I33">
        <v>400</v>
      </c>
      <c r="J33">
        <v>0</v>
      </c>
      <c r="K33">
        <v>0</v>
      </c>
      <c r="L33">
        <v>400</v>
      </c>
      <c r="M33">
        <v>96.11</v>
      </c>
      <c r="N33" t="s">
        <v>34</v>
      </c>
      <c r="O33" t="s">
        <v>35</v>
      </c>
      <c r="P33" t="str">
        <f t="shared" si="0"/>
        <v>Low Value</v>
      </c>
      <c r="Q33" t="str">
        <f t="shared" si="1"/>
        <v>Low</v>
      </c>
      <c r="R33" t="str" cm="1">
        <f t="array" ref="R33">_xlfn.IFS(L33&gt;50000,"Premium",L33&gt;20000,"High",L33&gt;5000,"Medium",TRUE,"Low")</f>
        <v>Low</v>
      </c>
    </row>
    <row r="34" spans="1:18" x14ac:dyDescent="0.3">
      <c r="A34" t="s">
        <v>155</v>
      </c>
      <c r="B34" s="1">
        <v>45253</v>
      </c>
      <c r="C34" t="s">
        <v>156</v>
      </c>
      <c r="D34" t="s">
        <v>157</v>
      </c>
      <c r="E34" t="s">
        <v>18</v>
      </c>
      <c r="F34" t="s">
        <v>32</v>
      </c>
      <c r="G34" t="s">
        <v>148</v>
      </c>
      <c r="H34">
        <v>4</v>
      </c>
      <c r="I34">
        <v>120</v>
      </c>
      <c r="J34">
        <v>20</v>
      </c>
      <c r="K34">
        <v>96</v>
      </c>
      <c r="L34">
        <v>384</v>
      </c>
      <c r="M34">
        <v>100.49</v>
      </c>
      <c r="N34" t="s">
        <v>27</v>
      </c>
      <c r="O34" t="s">
        <v>95</v>
      </c>
      <c r="P34" t="str">
        <f t="shared" si="0"/>
        <v>Low Value</v>
      </c>
      <c r="Q34" t="str">
        <f t="shared" si="1"/>
        <v>Low</v>
      </c>
      <c r="R34" t="str" cm="1">
        <f t="array" ref="R34">_xlfn.IFS(L34&gt;50000,"Premium",L34&gt;20000,"High",L34&gt;5000,"Medium",TRUE,"Low")</f>
        <v>Low</v>
      </c>
    </row>
    <row r="35" spans="1:18" x14ac:dyDescent="0.3">
      <c r="A35" t="s">
        <v>158</v>
      </c>
      <c r="B35" s="1">
        <v>44945</v>
      </c>
      <c r="C35" t="s">
        <v>159</v>
      </c>
      <c r="D35" t="s">
        <v>160</v>
      </c>
      <c r="E35" t="s">
        <v>48</v>
      </c>
      <c r="F35" t="s">
        <v>49</v>
      </c>
      <c r="G35" t="s">
        <v>161</v>
      </c>
      <c r="H35">
        <v>5</v>
      </c>
      <c r="I35">
        <v>599</v>
      </c>
      <c r="J35">
        <v>20</v>
      </c>
      <c r="K35">
        <v>599</v>
      </c>
      <c r="L35">
        <v>2396</v>
      </c>
      <c r="M35">
        <v>226.25</v>
      </c>
      <c r="N35" t="s">
        <v>99</v>
      </c>
      <c r="O35" t="s">
        <v>35</v>
      </c>
      <c r="P35" t="str">
        <f t="shared" si="0"/>
        <v>Low Value</v>
      </c>
      <c r="Q35" t="str">
        <f t="shared" si="1"/>
        <v>Low</v>
      </c>
      <c r="R35" t="str" cm="1">
        <f t="array" ref="R35">_xlfn.IFS(L35&gt;50000,"Premium",L35&gt;20000,"High",L35&gt;5000,"Medium",TRUE,"Low")</f>
        <v>Low</v>
      </c>
    </row>
    <row r="36" spans="1:18" x14ac:dyDescent="0.3">
      <c r="A36" t="s">
        <v>162</v>
      </c>
      <c r="B36" s="1">
        <v>45034</v>
      </c>
      <c r="C36" t="s">
        <v>163</v>
      </c>
      <c r="D36" t="s">
        <v>164</v>
      </c>
      <c r="E36" t="s">
        <v>83</v>
      </c>
      <c r="F36" t="s">
        <v>60</v>
      </c>
      <c r="G36" t="s">
        <v>165</v>
      </c>
      <c r="H36">
        <v>1</v>
      </c>
      <c r="I36">
        <v>300</v>
      </c>
      <c r="J36">
        <v>10</v>
      </c>
      <c r="K36">
        <v>30</v>
      </c>
      <c r="L36">
        <v>270</v>
      </c>
      <c r="M36">
        <v>76.69</v>
      </c>
      <c r="N36" t="s">
        <v>27</v>
      </c>
      <c r="O36" t="s">
        <v>35</v>
      </c>
      <c r="P36" t="str">
        <f t="shared" si="0"/>
        <v>Low Value</v>
      </c>
      <c r="Q36" t="str">
        <f t="shared" si="1"/>
        <v>Low</v>
      </c>
      <c r="R36" t="str" cm="1">
        <f t="array" ref="R36">_xlfn.IFS(L36&gt;50000,"Premium",L36&gt;20000,"High",L36&gt;5000,"Medium",TRUE,"Low")</f>
        <v>Low</v>
      </c>
    </row>
    <row r="37" spans="1:18" x14ac:dyDescent="0.3">
      <c r="A37" t="s">
        <v>166</v>
      </c>
      <c r="B37" s="1">
        <v>45017</v>
      </c>
      <c r="C37" t="s">
        <v>167</v>
      </c>
      <c r="D37" t="s">
        <v>168</v>
      </c>
      <c r="E37" t="s">
        <v>78</v>
      </c>
      <c r="F37" t="s">
        <v>39</v>
      </c>
      <c r="G37" t="s">
        <v>40</v>
      </c>
      <c r="H37">
        <v>2</v>
      </c>
      <c r="I37">
        <v>8500</v>
      </c>
      <c r="J37">
        <v>25</v>
      </c>
      <c r="K37">
        <v>4250</v>
      </c>
      <c r="L37">
        <v>12750</v>
      </c>
      <c r="M37">
        <v>4173.66</v>
      </c>
      <c r="N37" t="s">
        <v>27</v>
      </c>
      <c r="O37" t="s">
        <v>35</v>
      </c>
      <c r="P37" t="str">
        <f t="shared" si="0"/>
        <v>Low Value</v>
      </c>
      <c r="Q37" t="str">
        <f t="shared" si="1"/>
        <v>Medium</v>
      </c>
      <c r="R37" t="str" cm="1">
        <f t="array" ref="R37">_xlfn.IFS(L37&gt;50000,"Premium",L37&gt;20000,"High",L37&gt;5000,"Medium",TRUE,"Low")</f>
        <v>Medium</v>
      </c>
    </row>
    <row r="38" spans="1:18" x14ac:dyDescent="0.3">
      <c r="A38" t="s">
        <v>169</v>
      </c>
      <c r="B38" s="1">
        <v>45122</v>
      </c>
      <c r="C38" t="s">
        <v>170</v>
      </c>
      <c r="D38" t="s">
        <v>171</v>
      </c>
      <c r="E38" t="s">
        <v>78</v>
      </c>
      <c r="F38" t="s">
        <v>49</v>
      </c>
      <c r="G38" t="s">
        <v>50</v>
      </c>
      <c r="H38">
        <v>4</v>
      </c>
      <c r="I38">
        <v>499</v>
      </c>
      <c r="J38">
        <v>5</v>
      </c>
      <c r="K38">
        <v>99.8</v>
      </c>
      <c r="L38">
        <v>1896.2</v>
      </c>
      <c r="M38">
        <v>208.34</v>
      </c>
      <c r="N38" t="s">
        <v>27</v>
      </c>
      <c r="O38" t="s">
        <v>35</v>
      </c>
      <c r="P38" t="str">
        <f t="shared" si="0"/>
        <v>Low Value</v>
      </c>
      <c r="Q38" t="str">
        <f t="shared" si="1"/>
        <v>Low</v>
      </c>
      <c r="R38" t="str" cm="1">
        <f t="array" ref="R38">_xlfn.IFS(L38&gt;50000,"Premium",L38&gt;20000,"High",L38&gt;5000,"Medium",TRUE,"Low")</f>
        <v>Low</v>
      </c>
    </row>
    <row r="39" spans="1:18" x14ac:dyDescent="0.3">
      <c r="A39" t="s">
        <v>172</v>
      </c>
      <c r="B39" s="1">
        <v>44939</v>
      </c>
      <c r="C39" t="s">
        <v>173</v>
      </c>
      <c r="D39" t="s">
        <v>174</v>
      </c>
      <c r="E39" t="s">
        <v>26</v>
      </c>
      <c r="F39" t="s">
        <v>60</v>
      </c>
      <c r="G39" t="s">
        <v>165</v>
      </c>
      <c r="H39">
        <v>4</v>
      </c>
      <c r="I39">
        <v>300</v>
      </c>
      <c r="J39">
        <v>10</v>
      </c>
      <c r="K39">
        <v>120</v>
      </c>
      <c r="L39">
        <v>1080</v>
      </c>
      <c r="M39">
        <v>144.27000000000001</v>
      </c>
      <c r="N39" t="s">
        <v>21</v>
      </c>
      <c r="O39" t="s">
        <v>35</v>
      </c>
      <c r="P39" t="str">
        <f t="shared" si="0"/>
        <v>Low Value</v>
      </c>
      <c r="Q39" t="str">
        <f t="shared" si="1"/>
        <v>Low</v>
      </c>
      <c r="R39" t="str" cm="1">
        <f t="array" ref="R39">_xlfn.IFS(L39&gt;50000,"Premium",L39&gt;20000,"High",L39&gt;5000,"Medium",TRUE,"Low")</f>
        <v>Low</v>
      </c>
    </row>
    <row r="40" spans="1:18" x14ac:dyDescent="0.3">
      <c r="A40" t="s">
        <v>175</v>
      </c>
      <c r="B40" s="1">
        <v>44941</v>
      </c>
      <c r="C40" t="s">
        <v>176</v>
      </c>
      <c r="D40" t="s">
        <v>177</v>
      </c>
      <c r="E40" t="s">
        <v>26</v>
      </c>
      <c r="F40" t="s">
        <v>19</v>
      </c>
      <c r="G40" t="s">
        <v>103</v>
      </c>
      <c r="H40">
        <v>2</v>
      </c>
      <c r="I40">
        <v>3500</v>
      </c>
      <c r="J40">
        <v>20</v>
      </c>
      <c r="K40">
        <v>1400</v>
      </c>
      <c r="L40">
        <v>5600</v>
      </c>
      <c r="M40">
        <v>1897.06</v>
      </c>
      <c r="N40" t="s">
        <v>34</v>
      </c>
      <c r="O40" t="s">
        <v>35</v>
      </c>
      <c r="P40" t="str">
        <f t="shared" si="0"/>
        <v>Low Value</v>
      </c>
      <c r="Q40" t="str">
        <f t="shared" si="1"/>
        <v>Medium</v>
      </c>
      <c r="R40" t="str" cm="1">
        <f t="array" ref="R40">_xlfn.IFS(L40&gt;50000,"Premium",L40&gt;20000,"High",L40&gt;5000,"Medium",TRUE,"Low")</f>
        <v>Medium</v>
      </c>
    </row>
    <row r="41" spans="1:18" x14ac:dyDescent="0.3">
      <c r="A41" t="s">
        <v>178</v>
      </c>
      <c r="B41" s="1">
        <v>45150</v>
      </c>
      <c r="C41" t="s">
        <v>179</v>
      </c>
      <c r="D41" t="s">
        <v>154</v>
      </c>
      <c r="E41" t="s">
        <v>26</v>
      </c>
      <c r="F41" t="s">
        <v>74</v>
      </c>
      <c r="G41" t="s">
        <v>144</v>
      </c>
      <c r="H41">
        <v>1</v>
      </c>
      <c r="I41">
        <v>1500</v>
      </c>
      <c r="J41">
        <v>15</v>
      </c>
      <c r="K41">
        <v>225</v>
      </c>
      <c r="L41">
        <v>1275</v>
      </c>
      <c r="M41">
        <v>407.81</v>
      </c>
      <c r="N41" t="s">
        <v>99</v>
      </c>
      <c r="O41" t="s">
        <v>95</v>
      </c>
      <c r="P41" t="str">
        <f t="shared" si="0"/>
        <v>Low Value</v>
      </c>
      <c r="Q41" t="str">
        <f t="shared" si="1"/>
        <v>Low</v>
      </c>
      <c r="R41" t="str" cm="1">
        <f t="array" ref="R41">_xlfn.IFS(L41&gt;50000,"Premium",L41&gt;20000,"High",L41&gt;5000,"Medium",TRUE,"Low")</f>
        <v>Low</v>
      </c>
    </row>
    <row r="42" spans="1:18" x14ac:dyDescent="0.3">
      <c r="A42" t="s">
        <v>180</v>
      </c>
      <c r="B42" s="1">
        <v>45202</v>
      </c>
      <c r="C42" t="s">
        <v>181</v>
      </c>
      <c r="D42" t="s">
        <v>182</v>
      </c>
      <c r="E42" t="s">
        <v>48</v>
      </c>
      <c r="F42" t="s">
        <v>60</v>
      </c>
      <c r="G42" t="s">
        <v>115</v>
      </c>
      <c r="H42">
        <v>2</v>
      </c>
      <c r="I42">
        <v>1800</v>
      </c>
      <c r="J42">
        <v>10</v>
      </c>
      <c r="K42">
        <v>360</v>
      </c>
      <c r="L42">
        <v>3240</v>
      </c>
      <c r="M42">
        <v>581.22</v>
      </c>
      <c r="N42" t="s">
        <v>99</v>
      </c>
      <c r="O42" t="s">
        <v>35</v>
      </c>
      <c r="P42" t="str">
        <f t="shared" si="0"/>
        <v>Low Value</v>
      </c>
      <c r="Q42" t="str">
        <f t="shared" si="1"/>
        <v>Low</v>
      </c>
      <c r="R42" t="str" cm="1">
        <f t="array" ref="R42">_xlfn.IFS(L42&gt;50000,"Premium",L42&gt;20000,"High",L42&gt;5000,"Medium",TRUE,"Low")</f>
        <v>Low</v>
      </c>
    </row>
    <row r="43" spans="1:18" x14ac:dyDescent="0.3">
      <c r="A43" t="s">
        <v>183</v>
      </c>
      <c r="B43" s="1">
        <v>45186</v>
      </c>
      <c r="C43" t="s">
        <v>184</v>
      </c>
      <c r="D43" t="s">
        <v>185</v>
      </c>
      <c r="E43" t="s">
        <v>31</v>
      </c>
      <c r="F43" t="s">
        <v>32</v>
      </c>
      <c r="G43" t="s">
        <v>55</v>
      </c>
      <c r="H43">
        <v>4</v>
      </c>
      <c r="I43">
        <v>250</v>
      </c>
      <c r="J43">
        <v>10</v>
      </c>
      <c r="K43">
        <v>100</v>
      </c>
      <c r="L43">
        <v>900</v>
      </c>
      <c r="M43">
        <v>153.65</v>
      </c>
      <c r="N43" t="s">
        <v>41</v>
      </c>
      <c r="O43" t="s">
        <v>22</v>
      </c>
      <c r="P43" t="str">
        <f t="shared" si="0"/>
        <v>Low Value</v>
      </c>
      <c r="Q43" t="str">
        <f t="shared" si="1"/>
        <v>Low</v>
      </c>
      <c r="R43" t="str" cm="1">
        <f t="array" ref="R43">_xlfn.IFS(L43&gt;50000,"Premium",L43&gt;20000,"High",L43&gt;5000,"Medium",TRUE,"Low")</f>
        <v>Low</v>
      </c>
    </row>
    <row r="44" spans="1:18" x14ac:dyDescent="0.3">
      <c r="A44" t="s">
        <v>186</v>
      </c>
      <c r="B44" s="1">
        <v>45273</v>
      </c>
      <c r="C44" t="s">
        <v>187</v>
      </c>
      <c r="D44" t="s">
        <v>188</v>
      </c>
      <c r="E44" t="s">
        <v>78</v>
      </c>
      <c r="F44" t="s">
        <v>60</v>
      </c>
      <c r="G44" t="s">
        <v>165</v>
      </c>
      <c r="H44">
        <v>5</v>
      </c>
      <c r="I44">
        <v>300</v>
      </c>
      <c r="J44">
        <v>20</v>
      </c>
      <c r="K44">
        <v>300</v>
      </c>
      <c r="L44">
        <v>1200</v>
      </c>
      <c r="M44">
        <v>168.34</v>
      </c>
      <c r="N44" t="s">
        <v>27</v>
      </c>
      <c r="O44" t="s">
        <v>22</v>
      </c>
      <c r="P44" t="str">
        <f t="shared" si="0"/>
        <v>Low Value</v>
      </c>
      <c r="Q44" t="str">
        <f t="shared" si="1"/>
        <v>Low</v>
      </c>
      <c r="R44" t="str" cm="1">
        <f t="array" ref="R44">_xlfn.IFS(L44&gt;50000,"Premium",L44&gt;20000,"High",L44&gt;5000,"Medium",TRUE,"Low")</f>
        <v>Low</v>
      </c>
    </row>
    <row r="45" spans="1:18" x14ac:dyDescent="0.3">
      <c r="A45" t="s">
        <v>189</v>
      </c>
      <c r="B45" s="1">
        <v>45223</v>
      </c>
      <c r="C45" t="s">
        <v>190</v>
      </c>
      <c r="D45" t="s">
        <v>191</v>
      </c>
      <c r="E45" t="s">
        <v>54</v>
      </c>
      <c r="F45" t="s">
        <v>74</v>
      </c>
      <c r="G45" t="s">
        <v>192</v>
      </c>
      <c r="H45">
        <v>3</v>
      </c>
      <c r="I45">
        <v>12000</v>
      </c>
      <c r="J45">
        <v>15</v>
      </c>
      <c r="K45">
        <v>5400</v>
      </c>
      <c r="L45">
        <v>30600</v>
      </c>
      <c r="M45">
        <v>5585.6</v>
      </c>
      <c r="N45" t="s">
        <v>27</v>
      </c>
      <c r="O45" t="s">
        <v>35</v>
      </c>
      <c r="P45" t="str">
        <f t="shared" si="0"/>
        <v>High Value</v>
      </c>
      <c r="Q45" t="str">
        <f t="shared" si="1"/>
        <v>High</v>
      </c>
      <c r="R45" t="str" cm="1">
        <f t="array" ref="R45">_xlfn.IFS(L45&gt;50000,"Premium",L45&gt;20000,"High",L45&gt;5000,"Medium",TRUE,"Low")</f>
        <v>High</v>
      </c>
    </row>
    <row r="46" spans="1:18" x14ac:dyDescent="0.3">
      <c r="A46" t="s">
        <v>193</v>
      </c>
      <c r="B46" s="1">
        <v>45072</v>
      </c>
      <c r="C46" t="s">
        <v>194</v>
      </c>
      <c r="D46" t="s">
        <v>195</v>
      </c>
      <c r="E46" t="s">
        <v>31</v>
      </c>
      <c r="F46" t="s">
        <v>74</v>
      </c>
      <c r="G46" t="s">
        <v>192</v>
      </c>
      <c r="H46">
        <v>5</v>
      </c>
      <c r="I46">
        <v>12000</v>
      </c>
      <c r="J46">
        <v>10</v>
      </c>
      <c r="K46">
        <v>6000</v>
      </c>
      <c r="L46">
        <v>54000</v>
      </c>
      <c r="M46">
        <v>4212.87</v>
      </c>
      <c r="N46" t="s">
        <v>27</v>
      </c>
      <c r="O46" t="s">
        <v>35</v>
      </c>
      <c r="P46" t="str">
        <f t="shared" si="0"/>
        <v>High Value</v>
      </c>
      <c r="Q46" t="str">
        <f t="shared" si="1"/>
        <v>Premium</v>
      </c>
      <c r="R46" t="str" cm="1">
        <f t="array" ref="R46">_xlfn.IFS(L46&gt;50000,"Premium",L46&gt;20000,"High",L46&gt;5000,"Medium",TRUE,"Low")</f>
        <v>Premium</v>
      </c>
    </row>
    <row r="47" spans="1:18" x14ac:dyDescent="0.3">
      <c r="A47" t="s">
        <v>196</v>
      </c>
      <c r="B47" s="1">
        <v>44939</v>
      </c>
      <c r="C47" t="s">
        <v>197</v>
      </c>
      <c r="D47" t="s">
        <v>198</v>
      </c>
      <c r="E47" t="s">
        <v>31</v>
      </c>
      <c r="F47" t="s">
        <v>19</v>
      </c>
      <c r="G47" t="s">
        <v>65</v>
      </c>
      <c r="H47">
        <v>4</v>
      </c>
      <c r="I47">
        <v>55000</v>
      </c>
      <c r="J47">
        <v>20</v>
      </c>
      <c r="K47">
        <v>44000</v>
      </c>
      <c r="L47">
        <v>176000</v>
      </c>
      <c r="M47">
        <v>53666.15</v>
      </c>
      <c r="N47" t="s">
        <v>41</v>
      </c>
      <c r="O47" t="s">
        <v>22</v>
      </c>
      <c r="P47" t="str">
        <f t="shared" si="0"/>
        <v>High Value</v>
      </c>
      <c r="Q47" t="str">
        <f t="shared" si="1"/>
        <v>Premium</v>
      </c>
      <c r="R47" t="str" cm="1">
        <f t="array" ref="R47">_xlfn.IFS(L47&gt;50000,"Premium",L47&gt;20000,"High",L47&gt;5000,"Medium",TRUE,"Low")</f>
        <v>Premium</v>
      </c>
    </row>
    <row r="48" spans="1:18" x14ac:dyDescent="0.3">
      <c r="A48" t="s">
        <v>199</v>
      </c>
      <c r="B48" s="1">
        <v>45131</v>
      </c>
      <c r="C48" t="s">
        <v>200</v>
      </c>
      <c r="D48" t="s">
        <v>201</v>
      </c>
      <c r="E48" t="s">
        <v>54</v>
      </c>
      <c r="F48" t="s">
        <v>69</v>
      </c>
      <c r="G48" t="s">
        <v>202</v>
      </c>
      <c r="H48">
        <v>1</v>
      </c>
      <c r="I48">
        <v>1299</v>
      </c>
      <c r="J48">
        <v>0</v>
      </c>
      <c r="K48">
        <v>0</v>
      </c>
      <c r="L48">
        <v>1299</v>
      </c>
      <c r="M48">
        <v>368.3</v>
      </c>
      <c r="N48" t="s">
        <v>99</v>
      </c>
      <c r="O48" t="s">
        <v>95</v>
      </c>
      <c r="P48" t="str">
        <f t="shared" si="0"/>
        <v>Low Value</v>
      </c>
      <c r="Q48" t="str">
        <f t="shared" si="1"/>
        <v>Low</v>
      </c>
      <c r="R48" t="str" cm="1">
        <f t="array" ref="R48">_xlfn.IFS(L48&gt;50000,"Premium",L48&gt;20000,"High",L48&gt;5000,"Medium",TRUE,"Low")</f>
        <v>Low</v>
      </c>
    </row>
    <row r="49" spans="1:18" x14ac:dyDescent="0.3">
      <c r="A49" t="s">
        <v>203</v>
      </c>
      <c r="B49" s="1">
        <v>45054</v>
      </c>
      <c r="C49" t="s">
        <v>204</v>
      </c>
      <c r="D49" t="s">
        <v>205</v>
      </c>
      <c r="E49" t="s">
        <v>48</v>
      </c>
      <c r="F49" t="s">
        <v>49</v>
      </c>
      <c r="G49" t="s">
        <v>50</v>
      </c>
      <c r="H49">
        <v>4</v>
      </c>
      <c r="I49">
        <v>499</v>
      </c>
      <c r="J49">
        <v>5</v>
      </c>
      <c r="K49">
        <v>99.8</v>
      </c>
      <c r="L49">
        <v>1896.2</v>
      </c>
      <c r="M49">
        <v>550.70000000000005</v>
      </c>
      <c r="N49" t="s">
        <v>41</v>
      </c>
      <c r="O49" t="s">
        <v>95</v>
      </c>
      <c r="P49" t="str">
        <f t="shared" si="0"/>
        <v>Low Value</v>
      </c>
      <c r="Q49" t="str">
        <f t="shared" si="1"/>
        <v>Low</v>
      </c>
      <c r="R49" t="str" cm="1">
        <f t="array" ref="R49">_xlfn.IFS(L49&gt;50000,"Premium",L49&gt;20000,"High",L49&gt;5000,"Medium",TRUE,"Low")</f>
        <v>Low</v>
      </c>
    </row>
    <row r="50" spans="1:18" x14ac:dyDescent="0.3">
      <c r="A50" t="s">
        <v>206</v>
      </c>
      <c r="B50" s="1">
        <v>45185</v>
      </c>
      <c r="C50" t="s">
        <v>207</v>
      </c>
      <c r="D50" t="s">
        <v>208</v>
      </c>
      <c r="E50" t="s">
        <v>78</v>
      </c>
      <c r="F50" t="s">
        <v>39</v>
      </c>
      <c r="G50" t="s">
        <v>209</v>
      </c>
      <c r="H50">
        <v>5</v>
      </c>
      <c r="I50">
        <v>3200</v>
      </c>
      <c r="J50">
        <v>15</v>
      </c>
      <c r="K50">
        <v>2400</v>
      </c>
      <c r="L50">
        <v>13600</v>
      </c>
      <c r="M50">
        <v>4340.6099999999997</v>
      </c>
      <c r="N50" t="s">
        <v>27</v>
      </c>
      <c r="O50" t="s">
        <v>35</v>
      </c>
      <c r="P50" t="str">
        <f t="shared" si="0"/>
        <v>Low Value</v>
      </c>
      <c r="Q50" t="str">
        <f t="shared" si="1"/>
        <v>Medium</v>
      </c>
      <c r="R50" t="str" cm="1">
        <f t="array" ref="R50">_xlfn.IFS(L50&gt;50000,"Premium",L50&gt;20000,"High",L50&gt;5000,"Medium",TRUE,"Low")</f>
        <v>Medium</v>
      </c>
    </row>
    <row r="51" spans="1:18" x14ac:dyDescent="0.3">
      <c r="A51" t="s">
        <v>210</v>
      </c>
      <c r="B51" s="1">
        <v>45193</v>
      </c>
      <c r="C51" t="s">
        <v>211</v>
      </c>
      <c r="D51" t="s">
        <v>212</v>
      </c>
      <c r="E51" t="s">
        <v>78</v>
      </c>
      <c r="F51" t="s">
        <v>39</v>
      </c>
      <c r="G51" t="s">
        <v>213</v>
      </c>
      <c r="H51">
        <v>2</v>
      </c>
      <c r="I51">
        <v>15000</v>
      </c>
      <c r="J51">
        <v>10</v>
      </c>
      <c r="K51">
        <v>3000</v>
      </c>
      <c r="L51">
        <v>27000</v>
      </c>
      <c r="M51">
        <v>4912.97</v>
      </c>
      <c r="N51" t="s">
        <v>34</v>
      </c>
      <c r="O51" t="s">
        <v>35</v>
      </c>
      <c r="P51" t="str">
        <f t="shared" si="0"/>
        <v>High Value</v>
      </c>
      <c r="Q51" t="str">
        <f t="shared" si="1"/>
        <v>High</v>
      </c>
      <c r="R51" t="str" cm="1">
        <f t="array" ref="R51">_xlfn.IFS(L51&gt;50000,"Premium",L51&gt;20000,"High",L51&gt;5000,"Medium",TRUE,"Low")</f>
        <v>High</v>
      </c>
    </row>
    <row r="52" spans="1:18" x14ac:dyDescent="0.3">
      <c r="A52" t="s">
        <v>214</v>
      </c>
      <c r="B52" s="1">
        <v>45203</v>
      </c>
      <c r="C52" t="s">
        <v>72</v>
      </c>
      <c r="D52" t="s">
        <v>215</v>
      </c>
      <c r="E52" t="s">
        <v>26</v>
      </c>
      <c r="F52" t="s">
        <v>19</v>
      </c>
      <c r="G52" t="s">
        <v>65</v>
      </c>
      <c r="H52">
        <v>2</v>
      </c>
      <c r="I52">
        <v>55000</v>
      </c>
      <c r="J52">
        <v>5</v>
      </c>
      <c r="K52">
        <v>5500</v>
      </c>
      <c r="L52">
        <v>104500</v>
      </c>
      <c r="M52">
        <v>17233.16</v>
      </c>
      <c r="N52" t="s">
        <v>41</v>
      </c>
      <c r="O52" t="s">
        <v>35</v>
      </c>
      <c r="P52" t="str">
        <f t="shared" si="0"/>
        <v>High Value</v>
      </c>
      <c r="Q52" t="str">
        <f t="shared" si="1"/>
        <v>Premium</v>
      </c>
      <c r="R52" t="str" cm="1">
        <f t="array" ref="R52">_xlfn.IFS(L52&gt;50000,"Premium",L52&gt;20000,"High",L52&gt;5000,"Medium",TRUE,"Low")</f>
        <v>Premium</v>
      </c>
    </row>
    <row r="53" spans="1:18" x14ac:dyDescent="0.3">
      <c r="A53" t="s">
        <v>216</v>
      </c>
      <c r="B53" s="1">
        <v>45204</v>
      </c>
      <c r="C53" t="s">
        <v>217</v>
      </c>
      <c r="D53" t="s">
        <v>218</v>
      </c>
      <c r="E53" t="s">
        <v>26</v>
      </c>
      <c r="F53" t="s">
        <v>39</v>
      </c>
      <c r="G53" t="s">
        <v>219</v>
      </c>
      <c r="H53">
        <v>1</v>
      </c>
      <c r="I53">
        <v>18000</v>
      </c>
      <c r="J53">
        <v>5</v>
      </c>
      <c r="K53">
        <v>900</v>
      </c>
      <c r="L53">
        <v>17100</v>
      </c>
      <c r="M53">
        <v>5127.7299999999996</v>
      </c>
      <c r="N53" t="s">
        <v>41</v>
      </c>
      <c r="O53" t="s">
        <v>35</v>
      </c>
      <c r="P53" t="str">
        <f t="shared" si="0"/>
        <v>Low Value</v>
      </c>
      <c r="Q53" t="str">
        <f t="shared" si="1"/>
        <v>Medium</v>
      </c>
      <c r="R53" t="str" cm="1">
        <f t="array" ref="R53">_xlfn.IFS(L53&gt;50000,"Premium",L53&gt;20000,"High",L53&gt;5000,"Medium",TRUE,"Low")</f>
        <v>Medium</v>
      </c>
    </row>
    <row r="54" spans="1:18" x14ac:dyDescent="0.3">
      <c r="A54" t="s">
        <v>220</v>
      </c>
      <c r="B54" s="1">
        <v>45107</v>
      </c>
      <c r="C54" t="s">
        <v>221</v>
      </c>
      <c r="D54" t="s">
        <v>222</v>
      </c>
      <c r="E54" t="s">
        <v>31</v>
      </c>
      <c r="F54" t="s">
        <v>32</v>
      </c>
      <c r="G54" t="s">
        <v>33</v>
      </c>
      <c r="H54">
        <v>4</v>
      </c>
      <c r="I54">
        <v>400</v>
      </c>
      <c r="J54">
        <v>15</v>
      </c>
      <c r="K54">
        <v>240</v>
      </c>
      <c r="L54">
        <v>1360</v>
      </c>
      <c r="M54">
        <v>287.58999999999997</v>
      </c>
      <c r="N54" t="s">
        <v>41</v>
      </c>
      <c r="O54" t="s">
        <v>35</v>
      </c>
      <c r="P54" t="str">
        <f t="shared" si="0"/>
        <v>Low Value</v>
      </c>
      <c r="Q54" t="str">
        <f t="shared" si="1"/>
        <v>Low</v>
      </c>
      <c r="R54" t="str" cm="1">
        <f t="array" ref="R54">_xlfn.IFS(L54&gt;50000,"Premium",L54&gt;20000,"High",L54&gt;5000,"Medium",TRUE,"Low")</f>
        <v>Low</v>
      </c>
    </row>
    <row r="55" spans="1:18" x14ac:dyDescent="0.3">
      <c r="A55" t="s">
        <v>223</v>
      </c>
      <c r="B55" s="1">
        <v>45066</v>
      </c>
      <c r="C55" t="s">
        <v>224</v>
      </c>
      <c r="D55" t="s">
        <v>225</v>
      </c>
      <c r="E55" t="s">
        <v>54</v>
      </c>
      <c r="F55" t="s">
        <v>39</v>
      </c>
      <c r="G55" t="s">
        <v>219</v>
      </c>
      <c r="H55">
        <v>1</v>
      </c>
      <c r="I55">
        <v>18000</v>
      </c>
      <c r="J55">
        <v>15</v>
      </c>
      <c r="K55">
        <v>2700</v>
      </c>
      <c r="L55">
        <v>15300</v>
      </c>
      <c r="M55">
        <v>2307.83</v>
      </c>
      <c r="N55" t="s">
        <v>27</v>
      </c>
      <c r="O55" t="s">
        <v>95</v>
      </c>
      <c r="P55" t="str">
        <f t="shared" si="0"/>
        <v>Low Value</v>
      </c>
      <c r="Q55" t="str">
        <f t="shared" si="1"/>
        <v>Medium</v>
      </c>
      <c r="R55" t="str" cm="1">
        <f t="array" ref="R55">_xlfn.IFS(L55&gt;50000,"Premium",L55&gt;20000,"High",L55&gt;5000,"Medium",TRUE,"Low")</f>
        <v>Medium</v>
      </c>
    </row>
    <row r="56" spans="1:18" x14ac:dyDescent="0.3">
      <c r="A56" t="s">
        <v>226</v>
      </c>
      <c r="B56" s="1">
        <v>45200</v>
      </c>
      <c r="C56" t="s">
        <v>227</v>
      </c>
      <c r="D56" t="s">
        <v>228</v>
      </c>
      <c r="E56" t="s">
        <v>54</v>
      </c>
      <c r="F56" t="s">
        <v>19</v>
      </c>
      <c r="G56" t="s">
        <v>229</v>
      </c>
      <c r="H56">
        <v>5</v>
      </c>
      <c r="I56">
        <v>8000</v>
      </c>
      <c r="J56">
        <v>20</v>
      </c>
      <c r="K56">
        <v>8000</v>
      </c>
      <c r="L56">
        <v>32000</v>
      </c>
      <c r="M56">
        <v>7964.8</v>
      </c>
      <c r="N56" t="s">
        <v>27</v>
      </c>
      <c r="O56" t="s">
        <v>35</v>
      </c>
      <c r="P56" t="str">
        <f t="shared" si="0"/>
        <v>High Value</v>
      </c>
      <c r="Q56" t="str">
        <f t="shared" si="1"/>
        <v>High</v>
      </c>
      <c r="R56" t="str" cm="1">
        <f t="array" ref="R56">_xlfn.IFS(L56&gt;50000,"Premium",L56&gt;20000,"High",L56&gt;5000,"Medium",TRUE,"Low")</f>
        <v>High</v>
      </c>
    </row>
    <row r="57" spans="1:18" x14ac:dyDescent="0.3">
      <c r="A57" t="s">
        <v>230</v>
      </c>
      <c r="B57" s="1">
        <v>45060</v>
      </c>
      <c r="C57" t="s">
        <v>231</v>
      </c>
      <c r="D57" t="s">
        <v>232</v>
      </c>
      <c r="E57" t="s">
        <v>26</v>
      </c>
      <c r="F57" t="s">
        <v>39</v>
      </c>
      <c r="G57" t="s">
        <v>126</v>
      </c>
      <c r="H57">
        <v>2</v>
      </c>
      <c r="I57">
        <v>4200</v>
      </c>
      <c r="J57">
        <v>15</v>
      </c>
      <c r="K57">
        <v>1260</v>
      </c>
      <c r="L57">
        <v>7140</v>
      </c>
      <c r="M57">
        <v>1057.0999999999999</v>
      </c>
      <c r="N57" t="s">
        <v>34</v>
      </c>
      <c r="O57" t="s">
        <v>35</v>
      </c>
      <c r="P57" t="str">
        <f t="shared" si="0"/>
        <v>Low Value</v>
      </c>
      <c r="Q57" t="str">
        <f t="shared" si="1"/>
        <v>Medium</v>
      </c>
      <c r="R57" t="str" cm="1">
        <f t="array" ref="R57">_xlfn.IFS(L57&gt;50000,"Premium",L57&gt;20000,"High",L57&gt;5000,"Medium",TRUE,"Low")</f>
        <v>Medium</v>
      </c>
    </row>
    <row r="58" spans="1:18" x14ac:dyDescent="0.3">
      <c r="A58" t="s">
        <v>233</v>
      </c>
      <c r="B58" s="1">
        <v>45167</v>
      </c>
      <c r="C58" t="s">
        <v>234</v>
      </c>
      <c r="D58" t="s">
        <v>235</v>
      </c>
      <c r="E58" t="s">
        <v>59</v>
      </c>
      <c r="F58" t="s">
        <v>19</v>
      </c>
      <c r="G58" t="s">
        <v>236</v>
      </c>
      <c r="H58">
        <v>5</v>
      </c>
      <c r="I58">
        <v>800</v>
      </c>
      <c r="J58">
        <v>0</v>
      </c>
      <c r="K58">
        <v>0</v>
      </c>
      <c r="L58">
        <v>4000</v>
      </c>
      <c r="M58">
        <v>1399.89</v>
      </c>
      <c r="N58" t="s">
        <v>99</v>
      </c>
      <c r="O58" t="s">
        <v>35</v>
      </c>
      <c r="P58" t="str">
        <f t="shared" si="0"/>
        <v>Low Value</v>
      </c>
      <c r="Q58" t="str">
        <f t="shared" si="1"/>
        <v>Low</v>
      </c>
      <c r="R58" t="str" cm="1">
        <f t="array" ref="R58">_xlfn.IFS(L58&gt;50000,"Premium",L58&gt;20000,"High",L58&gt;5000,"Medium",TRUE,"Low")</f>
        <v>Low</v>
      </c>
    </row>
    <row r="59" spans="1:18" x14ac:dyDescent="0.3">
      <c r="A59" t="s">
        <v>237</v>
      </c>
      <c r="B59" s="1">
        <v>45029</v>
      </c>
      <c r="C59" t="s">
        <v>238</v>
      </c>
      <c r="D59" t="s">
        <v>239</v>
      </c>
      <c r="E59" t="s">
        <v>31</v>
      </c>
      <c r="F59" t="s">
        <v>49</v>
      </c>
      <c r="G59" t="s">
        <v>50</v>
      </c>
      <c r="H59">
        <v>5</v>
      </c>
      <c r="I59">
        <v>499</v>
      </c>
      <c r="J59">
        <v>5</v>
      </c>
      <c r="K59">
        <v>124.75</v>
      </c>
      <c r="L59">
        <v>2370.25</v>
      </c>
      <c r="M59">
        <v>288.14</v>
      </c>
      <c r="N59" t="s">
        <v>41</v>
      </c>
      <c r="O59" t="s">
        <v>35</v>
      </c>
      <c r="P59" t="str">
        <f t="shared" si="0"/>
        <v>Low Value</v>
      </c>
      <c r="Q59" t="str">
        <f t="shared" si="1"/>
        <v>Low</v>
      </c>
      <c r="R59" t="str" cm="1">
        <f t="array" ref="R59">_xlfn.IFS(L59&gt;50000,"Premium",L59&gt;20000,"High",L59&gt;5000,"Medium",TRUE,"Low")</f>
        <v>Low</v>
      </c>
    </row>
    <row r="60" spans="1:18" x14ac:dyDescent="0.3">
      <c r="A60" t="s">
        <v>240</v>
      </c>
      <c r="B60" s="1">
        <v>45115</v>
      </c>
      <c r="C60" t="s">
        <v>241</v>
      </c>
      <c r="D60" t="s">
        <v>242</v>
      </c>
      <c r="E60" t="s">
        <v>18</v>
      </c>
      <c r="F60" t="s">
        <v>69</v>
      </c>
      <c r="G60" t="s">
        <v>243</v>
      </c>
      <c r="H60">
        <v>5</v>
      </c>
      <c r="I60">
        <v>1999</v>
      </c>
      <c r="J60">
        <v>25</v>
      </c>
      <c r="K60">
        <v>2498.75</v>
      </c>
      <c r="L60">
        <v>7496.25</v>
      </c>
      <c r="M60">
        <v>1990.31</v>
      </c>
      <c r="N60" t="s">
        <v>21</v>
      </c>
      <c r="O60" t="s">
        <v>35</v>
      </c>
      <c r="P60" t="str">
        <f t="shared" si="0"/>
        <v>Low Value</v>
      </c>
      <c r="Q60" t="str">
        <f t="shared" si="1"/>
        <v>Medium</v>
      </c>
      <c r="R60" t="str" cm="1">
        <f t="array" ref="R60">_xlfn.IFS(L60&gt;50000,"Premium",L60&gt;20000,"High",L60&gt;5000,"Medium",TRUE,"Low")</f>
        <v>Medium</v>
      </c>
    </row>
    <row r="61" spans="1:18" x14ac:dyDescent="0.3">
      <c r="A61" t="s">
        <v>244</v>
      </c>
      <c r="B61" s="1">
        <v>45086</v>
      </c>
      <c r="C61" t="s">
        <v>245</v>
      </c>
      <c r="D61" t="s">
        <v>246</v>
      </c>
      <c r="E61" t="s">
        <v>31</v>
      </c>
      <c r="F61" t="s">
        <v>74</v>
      </c>
      <c r="G61" t="s">
        <v>192</v>
      </c>
      <c r="H61">
        <v>4</v>
      </c>
      <c r="I61">
        <v>12000</v>
      </c>
      <c r="J61">
        <v>15</v>
      </c>
      <c r="K61">
        <v>7200</v>
      </c>
      <c r="L61">
        <v>40800</v>
      </c>
      <c r="M61">
        <v>13563.6</v>
      </c>
      <c r="N61" t="s">
        <v>99</v>
      </c>
      <c r="O61" t="s">
        <v>35</v>
      </c>
      <c r="P61" t="str">
        <f t="shared" si="0"/>
        <v>High Value</v>
      </c>
      <c r="Q61" t="str">
        <f t="shared" si="1"/>
        <v>High</v>
      </c>
      <c r="R61" t="str" cm="1">
        <f t="array" ref="R61">_xlfn.IFS(L61&gt;50000,"Premium",L61&gt;20000,"High",L61&gt;5000,"Medium",TRUE,"Low")</f>
        <v>High</v>
      </c>
    </row>
    <row r="62" spans="1:18" x14ac:dyDescent="0.3">
      <c r="A62" t="s">
        <v>247</v>
      </c>
      <c r="B62" s="1">
        <v>45277</v>
      </c>
      <c r="C62" t="s">
        <v>248</v>
      </c>
      <c r="D62" t="s">
        <v>249</v>
      </c>
      <c r="E62" t="s">
        <v>48</v>
      </c>
      <c r="F62" t="s">
        <v>74</v>
      </c>
      <c r="G62" t="s">
        <v>250</v>
      </c>
      <c r="H62">
        <v>1</v>
      </c>
      <c r="I62">
        <v>3500</v>
      </c>
      <c r="J62">
        <v>20</v>
      </c>
      <c r="K62">
        <v>700</v>
      </c>
      <c r="L62">
        <v>2800</v>
      </c>
      <c r="M62">
        <v>797.41</v>
      </c>
      <c r="N62" t="s">
        <v>99</v>
      </c>
      <c r="O62" t="s">
        <v>95</v>
      </c>
      <c r="P62" t="str">
        <f t="shared" si="0"/>
        <v>Low Value</v>
      </c>
      <c r="Q62" t="str">
        <f t="shared" si="1"/>
        <v>Low</v>
      </c>
      <c r="R62" t="str" cm="1">
        <f t="array" ref="R62">_xlfn.IFS(L62&gt;50000,"Premium",L62&gt;20000,"High",L62&gt;5000,"Medium",TRUE,"Low")</f>
        <v>Low</v>
      </c>
    </row>
    <row r="63" spans="1:18" x14ac:dyDescent="0.3">
      <c r="A63" t="s">
        <v>251</v>
      </c>
      <c r="B63" s="1">
        <v>45258</v>
      </c>
      <c r="C63" t="s">
        <v>252</v>
      </c>
      <c r="D63" t="s">
        <v>98</v>
      </c>
      <c r="E63" t="s">
        <v>83</v>
      </c>
      <c r="F63" t="s">
        <v>32</v>
      </c>
      <c r="G63" t="s">
        <v>253</v>
      </c>
      <c r="H63">
        <v>4</v>
      </c>
      <c r="I63">
        <v>350</v>
      </c>
      <c r="J63">
        <v>15</v>
      </c>
      <c r="K63">
        <v>210</v>
      </c>
      <c r="L63">
        <v>1190</v>
      </c>
      <c r="M63">
        <v>97.18</v>
      </c>
      <c r="N63" t="s">
        <v>41</v>
      </c>
      <c r="O63" t="s">
        <v>35</v>
      </c>
      <c r="P63" t="str">
        <f t="shared" si="0"/>
        <v>Low Value</v>
      </c>
      <c r="Q63" t="str">
        <f t="shared" si="1"/>
        <v>Low</v>
      </c>
      <c r="R63" t="str" cm="1">
        <f t="array" ref="R63">_xlfn.IFS(L63&gt;50000,"Premium",L63&gt;20000,"High",L63&gt;5000,"Medium",TRUE,"Low")</f>
        <v>Low</v>
      </c>
    </row>
    <row r="64" spans="1:18" x14ac:dyDescent="0.3">
      <c r="A64" t="s">
        <v>254</v>
      </c>
      <c r="B64" s="1">
        <v>45194</v>
      </c>
      <c r="C64" t="s">
        <v>255</v>
      </c>
      <c r="D64" t="s">
        <v>68</v>
      </c>
      <c r="E64" t="s">
        <v>78</v>
      </c>
      <c r="F64" t="s">
        <v>60</v>
      </c>
      <c r="G64" t="s">
        <v>141</v>
      </c>
      <c r="H64">
        <v>5</v>
      </c>
      <c r="I64">
        <v>350</v>
      </c>
      <c r="J64">
        <v>20</v>
      </c>
      <c r="K64">
        <v>350</v>
      </c>
      <c r="L64">
        <v>1400</v>
      </c>
      <c r="M64">
        <v>395.35</v>
      </c>
      <c r="N64" t="s">
        <v>34</v>
      </c>
      <c r="O64" t="s">
        <v>35</v>
      </c>
      <c r="P64" t="str">
        <f t="shared" si="0"/>
        <v>Low Value</v>
      </c>
      <c r="Q64" t="str">
        <f t="shared" si="1"/>
        <v>Low</v>
      </c>
      <c r="R64" t="str" cm="1">
        <f t="array" ref="R64">_xlfn.IFS(L64&gt;50000,"Premium",L64&gt;20000,"High",L64&gt;5000,"Medium",TRUE,"Low")</f>
        <v>Low</v>
      </c>
    </row>
    <row r="65" spans="1:18" x14ac:dyDescent="0.3">
      <c r="A65" t="s">
        <v>256</v>
      </c>
      <c r="B65" s="1">
        <v>44971</v>
      </c>
      <c r="C65" t="s">
        <v>257</v>
      </c>
      <c r="D65" t="s">
        <v>258</v>
      </c>
      <c r="E65" t="s">
        <v>59</v>
      </c>
      <c r="F65" t="s">
        <v>32</v>
      </c>
      <c r="G65" t="s">
        <v>259</v>
      </c>
      <c r="H65">
        <v>2</v>
      </c>
      <c r="I65">
        <v>450</v>
      </c>
      <c r="J65">
        <v>15</v>
      </c>
      <c r="K65">
        <v>135</v>
      </c>
      <c r="L65">
        <v>765</v>
      </c>
      <c r="M65">
        <v>169.03</v>
      </c>
      <c r="N65" t="s">
        <v>41</v>
      </c>
      <c r="O65" t="s">
        <v>35</v>
      </c>
      <c r="P65" t="str">
        <f t="shared" si="0"/>
        <v>Low Value</v>
      </c>
      <c r="Q65" t="str">
        <f t="shared" si="1"/>
        <v>Low</v>
      </c>
      <c r="R65" t="str" cm="1">
        <f t="array" ref="R65">_xlfn.IFS(L65&gt;50000,"Premium",L65&gt;20000,"High",L65&gt;5000,"Medium",TRUE,"Low")</f>
        <v>Low</v>
      </c>
    </row>
    <row r="66" spans="1:18" x14ac:dyDescent="0.3">
      <c r="A66" t="s">
        <v>260</v>
      </c>
      <c r="B66" s="1">
        <v>45020</v>
      </c>
      <c r="C66" t="s">
        <v>261</v>
      </c>
      <c r="D66" t="s">
        <v>262</v>
      </c>
      <c r="E66" t="s">
        <v>59</v>
      </c>
      <c r="F66" t="s">
        <v>39</v>
      </c>
      <c r="G66" t="s">
        <v>84</v>
      </c>
      <c r="H66">
        <v>3</v>
      </c>
      <c r="I66">
        <v>6500</v>
      </c>
      <c r="J66">
        <v>10</v>
      </c>
      <c r="K66">
        <v>1950</v>
      </c>
      <c r="L66">
        <v>17550</v>
      </c>
      <c r="M66">
        <v>2669.38</v>
      </c>
      <c r="N66" t="s">
        <v>21</v>
      </c>
      <c r="O66" t="s">
        <v>35</v>
      </c>
      <c r="P66" t="str">
        <f t="shared" si="0"/>
        <v>Low Value</v>
      </c>
      <c r="Q66" t="str">
        <f t="shared" si="1"/>
        <v>Medium</v>
      </c>
      <c r="R66" t="str" cm="1">
        <f t="array" ref="R66">_xlfn.IFS(L66&gt;50000,"Premium",L66&gt;20000,"High",L66&gt;5000,"Medium",TRUE,"Low")</f>
        <v>Medium</v>
      </c>
    </row>
    <row r="67" spans="1:18" x14ac:dyDescent="0.3">
      <c r="A67" t="s">
        <v>263</v>
      </c>
      <c r="B67" s="1">
        <v>44970</v>
      </c>
      <c r="C67" t="s">
        <v>89</v>
      </c>
      <c r="D67" t="s">
        <v>264</v>
      </c>
      <c r="E67" t="s">
        <v>54</v>
      </c>
      <c r="F67" t="s">
        <v>69</v>
      </c>
      <c r="G67" t="s">
        <v>70</v>
      </c>
      <c r="H67">
        <v>4</v>
      </c>
      <c r="I67">
        <v>2499</v>
      </c>
      <c r="J67">
        <v>15</v>
      </c>
      <c r="K67">
        <v>1499.4</v>
      </c>
      <c r="L67">
        <v>8496.6</v>
      </c>
      <c r="M67">
        <v>1839.96</v>
      </c>
      <c r="N67" t="s">
        <v>99</v>
      </c>
      <c r="O67" t="s">
        <v>35</v>
      </c>
      <c r="P67" t="str">
        <f t="shared" ref="P67:P130" si="2">IF(L67&gt;20000,"High Value","Low Value")</f>
        <v>Low Value</v>
      </c>
      <c r="Q67" t="str">
        <f t="shared" ref="Q67:Q130" si="3">IF(L67&gt;50000,"Premium",IF(L67&gt;20000,"High",IF(L67&gt;5000,"Medium","Low")))</f>
        <v>Medium</v>
      </c>
      <c r="R67" t="str" cm="1">
        <f t="array" ref="R67">_xlfn.IFS(L67&gt;50000,"Premium",L67&gt;20000,"High",L67&gt;5000,"Medium",TRUE,"Low")</f>
        <v>Medium</v>
      </c>
    </row>
    <row r="68" spans="1:18" x14ac:dyDescent="0.3">
      <c r="A68" t="s">
        <v>265</v>
      </c>
      <c r="B68" s="1">
        <v>45077</v>
      </c>
      <c r="C68" t="s">
        <v>266</v>
      </c>
      <c r="D68" t="s">
        <v>267</v>
      </c>
      <c r="E68" t="s">
        <v>48</v>
      </c>
      <c r="F68" t="s">
        <v>69</v>
      </c>
      <c r="G68" t="s">
        <v>119</v>
      </c>
      <c r="H68">
        <v>2</v>
      </c>
      <c r="I68">
        <v>2500</v>
      </c>
      <c r="J68">
        <v>10</v>
      </c>
      <c r="K68">
        <v>500</v>
      </c>
      <c r="L68">
        <v>4500</v>
      </c>
      <c r="M68">
        <v>1121.3499999999999</v>
      </c>
      <c r="N68" t="s">
        <v>41</v>
      </c>
      <c r="O68" t="s">
        <v>95</v>
      </c>
      <c r="P68" t="str">
        <f t="shared" si="2"/>
        <v>Low Value</v>
      </c>
      <c r="Q68" t="str">
        <f t="shared" si="3"/>
        <v>Low</v>
      </c>
      <c r="R68" t="str" cm="1">
        <f t="array" ref="R68">_xlfn.IFS(L68&gt;50000,"Premium",L68&gt;20000,"High",L68&gt;5000,"Medium",TRUE,"Low")</f>
        <v>Low</v>
      </c>
    </row>
    <row r="69" spans="1:18" x14ac:dyDescent="0.3">
      <c r="A69" t="s">
        <v>268</v>
      </c>
      <c r="B69" s="1">
        <v>45096</v>
      </c>
      <c r="C69" t="s">
        <v>269</v>
      </c>
      <c r="D69" t="s">
        <v>270</v>
      </c>
      <c r="E69" t="s">
        <v>48</v>
      </c>
      <c r="F69" t="s">
        <v>32</v>
      </c>
      <c r="G69" t="s">
        <v>55</v>
      </c>
      <c r="H69">
        <v>4</v>
      </c>
      <c r="I69">
        <v>250</v>
      </c>
      <c r="J69">
        <v>10</v>
      </c>
      <c r="K69">
        <v>100</v>
      </c>
      <c r="L69">
        <v>900</v>
      </c>
      <c r="M69">
        <v>127.79</v>
      </c>
      <c r="N69" t="s">
        <v>99</v>
      </c>
      <c r="O69" t="s">
        <v>95</v>
      </c>
      <c r="P69" t="str">
        <f t="shared" si="2"/>
        <v>Low Value</v>
      </c>
      <c r="Q69" t="str">
        <f t="shared" si="3"/>
        <v>Low</v>
      </c>
      <c r="R69" t="str" cm="1">
        <f t="array" ref="R69">_xlfn.IFS(L69&gt;50000,"Premium",L69&gt;20000,"High",L69&gt;5000,"Medium",TRUE,"Low")</f>
        <v>Low</v>
      </c>
    </row>
    <row r="70" spans="1:18" x14ac:dyDescent="0.3">
      <c r="A70" t="s">
        <v>271</v>
      </c>
      <c r="B70" s="1">
        <v>45280</v>
      </c>
      <c r="C70" t="s">
        <v>272</v>
      </c>
      <c r="D70" t="s">
        <v>136</v>
      </c>
      <c r="E70" t="s">
        <v>78</v>
      </c>
      <c r="F70" t="s">
        <v>69</v>
      </c>
      <c r="G70" t="s">
        <v>202</v>
      </c>
      <c r="H70">
        <v>2</v>
      </c>
      <c r="I70">
        <v>1299</v>
      </c>
      <c r="J70">
        <v>25</v>
      </c>
      <c r="K70">
        <v>649.5</v>
      </c>
      <c r="L70">
        <v>1948.5</v>
      </c>
      <c r="M70">
        <v>380.46</v>
      </c>
      <c r="N70" t="s">
        <v>99</v>
      </c>
      <c r="O70" t="s">
        <v>35</v>
      </c>
      <c r="P70" t="str">
        <f t="shared" si="2"/>
        <v>Low Value</v>
      </c>
      <c r="Q70" t="str">
        <f t="shared" si="3"/>
        <v>Low</v>
      </c>
      <c r="R70" t="str" cm="1">
        <f t="array" ref="R70">_xlfn.IFS(L70&gt;50000,"Premium",L70&gt;20000,"High",L70&gt;5000,"Medium",TRUE,"Low")</f>
        <v>Low</v>
      </c>
    </row>
    <row r="71" spans="1:18" x14ac:dyDescent="0.3">
      <c r="A71" t="s">
        <v>273</v>
      </c>
      <c r="B71" s="1">
        <v>45078</v>
      </c>
      <c r="C71" t="s">
        <v>52</v>
      </c>
      <c r="D71" t="s">
        <v>274</v>
      </c>
      <c r="E71" t="s">
        <v>59</v>
      </c>
      <c r="F71" t="s">
        <v>69</v>
      </c>
      <c r="G71" t="s">
        <v>275</v>
      </c>
      <c r="H71">
        <v>2</v>
      </c>
      <c r="I71">
        <v>799</v>
      </c>
      <c r="J71">
        <v>10</v>
      </c>
      <c r="K71">
        <v>159.80000000000001</v>
      </c>
      <c r="L71">
        <v>1438.2</v>
      </c>
      <c r="M71">
        <v>78.010000000000005</v>
      </c>
      <c r="N71" t="s">
        <v>99</v>
      </c>
      <c r="O71" t="s">
        <v>95</v>
      </c>
      <c r="P71" t="str">
        <f t="shared" si="2"/>
        <v>Low Value</v>
      </c>
      <c r="Q71" t="str">
        <f t="shared" si="3"/>
        <v>Low</v>
      </c>
      <c r="R71" t="str" cm="1">
        <f t="array" ref="R71">_xlfn.IFS(L71&gt;50000,"Premium",L71&gt;20000,"High",L71&gt;5000,"Medium",TRUE,"Low")</f>
        <v>Low</v>
      </c>
    </row>
    <row r="72" spans="1:18" x14ac:dyDescent="0.3">
      <c r="A72" t="s">
        <v>276</v>
      </c>
      <c r="B72" s="1">
        <v>45076</v>
      </c>
      <c r="C72" t="s">
        <v>277</v>
      </c>
      <c r="D72" t="s">
        <v>278</v>
      </c>
      <c r="E72" t="s">
        <v>54</v>
      </c>
      <c r="F72" t="s">
        <v>60</v>
      </c>
      <c r="G72" t="s">
        <v>165</v>
      </c>
      <c r="H72">
        <v>4</v>
      </c>
      <c r="I72">
        <v>300</v>
      </c>
      <c r="J72">
        <v>0</v>
      </c>
      <c r="K72">
        <v>0</v>
      </c>
      <c r="L72">
        <v>1200</v>
      </c>
      <c r="M72">
        <v>374.18</v>
      </c>
      <c r="N72" t="s">
        <v>41</v>
      </c>
      <c r="O72" t="s">
        <v>35</v>
      </c>
      <c r="P72" t="str">
        <f t="shared" si="2"/>
        <v>Low Value</v>
      </c>
      <c r="Q72" t="str">
        <f t="shared" si="3"/>
        <v>Low</v>
      </c>
      <c r="R72" t="str" cm="1">
        <f t="array" ref="R72">_xlfn.IFS(L72&gt;50000,"Premium",L72&gt;20000,"High",L72&gt;5000,"Medium",TRUE,"Low")</f>
        <v>Low</v>
      </c>
    </row>
    <row r="73" spans="1:18" x14ac:dyDescent="0.3">
      <c r="A73" t="s">
        <v>279</v>
      </c>
      <c r="B73" s="1">
        <v>45021</v>
      </c>
      <c r="C73" t="s">
        <v>280</v>
      </c>
      <c r="D73" t="s">
        <v>281</v>
      </c>
      <c r="E73" t="s">
        <v>59</v>
      </c>
      <c r="F73" t="s">
        <v>19</v>
      </c>
      <c r="G73" t="s">
        <v>103</v>
      </c>
      <c r="H73">
        <v>4</v>
      </c>
      <c r="I73">
        <v>3500</v>
      </c>
      <c r="J73">
        <v>0</v>
      </c>
      <c r="K73">
        <v>0</v>
      </c>
      <c r="L73">
        <v>14000</v>
      </c>
      <c r="M73">
        <v>4152.8900000000003</v>
      </c>
      <c r="N73" t="s">
        <v>27</v>
      </c>
      <c r="O73" t="s">
        <v>35</v>
      </c>
      <c r="P73" t="str">
        <f t="shared" si="2"/>
        <v>Low Value</v>
      </c>
      <c r="Q73" t="str">
        <f t="shared" si="3"/>
        <v>Medium</v>
      </c>
      <c r="R73" t="str" cm="1">
        <f t="array" ref="R73">_xlfn.IFS(L73&gt;50000,"Premium",L73&gt;20000,"High",L73&gt;5000,"Medium",TRUE,"Low")</f>
        <v>Medium</v>
      </c>
    </row>
    <row r="74" spans="1:18" x14ac:dyDescent="0.3">
      <c r="A74" t="s">
        <v>282</v>
      </c>
      <c r="B74" s="1">
        <v>45215</v>
      </c>
      <c r="C74" t="s">
        <v>283</v>
      </c>
      <c r="D74" t="s">
        <v>284</v>
      </c>
      <c r="E74" t="s">
        <v>31</v>
      </c>
      <c r="F74" t="s">
        <v>32</v>
      </c>
      <c r="G74" t="s">
        <v>253</v>
      </c>
      <c r="H74">
        <v>2</v>
      </c>
      <c r="I74">
        <v>350</v>
      </c>
      <c r="J74">
        <v>0</v>
      </c>
      <c r="K74">
        <v>0</v>
      </c>
      <c r="L74">
        <v>700</v>
      </c>
      <c r="M74">
        <v>152.19999999999999</v>
      </c>
      <c r="N74" t="s">
        <v>21</v>
      </c>
      <c r="O74" t="s">
        <v>22</v>
      </c>
      <c r="P74" t="str">
        <f t="shared" si="2"/>
        <v>Low Value</v>
      </c>
      <c r="Q74" t="str">
        <f t="shared" si="3"/>
        <v>Low</v>
      </c>
      <c r="R74" t="str" cm="1">
        <f t="array" ref="R74">_xlfn.IFS(L74&gt;50000,"Premium",L74&gt;20000,"High",L74&gt;5000,"Medium",TRUE,"Low")</f>
        <v>Low</v>
      </c>
    </row>
    <row r="75" spans="1:18" x14ac:dyDescent="0.3">
      <c r="A75" t="s">
        <v>285</v>
      </c>
      <c r="B75" s="1">
        <v>45157</v>
      </c>
      <c r="C75" t="s">
        <v>286</v>
      </c>
      <c r="D75" t="s">
        <v>287</v>
      </c>
      <c r="E75" t="s">
        <v>18</v>
      </c>
      <c r="F75" t="s">
        <v>39</v>
      </c>
      <c r="G75" t="s">
        <v>126</v>
      </c>
      <c r="H75">
        <v>5</v>
      </c>
      <c r="I75">
        <v>4200</v>
      </c>
      <c r="J75">
        <v>15</v>
      </c>
      <c r="K75">
        <v>3150</v>
      </c>
      <c r="L75">
        <v>17850</v>
      </c>
      <c r="M75">
        <v>2527.81</v>
      </c>
      <c r="N75" t="s">
        <v>27</v>
      </c>
      <c r="O75" t="s">
        <v>35</v>
      </c>
      <c r="P75" t="str">
        <f t="shared" si="2"/>
        <v>Low Value</v>
      </c>
      <c r="Q75" t="str">
        <f t="shared" si="3"/>
        <v>Medium</v>
      </c>
      <c r="R75" t="str" cm="1">
        <f t="array" ref="R75">_xlfn.IFS(L75&gt;50000,"Premium",L75&gt;20000,"High",L75&gt;5000,"Medium",TRUE,"Low")</f>
        <v>Medium</v>
      </c>
    </row>
    <row r="76" spans="1:18" x14ac:dyDescent="0.3">
      <c r="A76" t="s">
        <v>288</v>
      </c>
      <c r="B76" s="1">
        <v>45062</v>
      </c>
      <c r="C76" t="s">
        <v>289</v>
      </c>
      <c r="D76" t="s">
        <v>290</v>
      </c>
      <c r="E76" t="s">
        <v>26</v>
      </c>
      <c r="F76" t="s">
        <v>60</v>
      </c>
      <c r="G76" t="s">
        <v>291</v>
      </c>
      <c r="H76">
        <v>2</v>
      </c>
      <c r="I76">
        <v>450</v>
      </c>
      <c r="J76">
        <v>5</v>
      </c>
      <c r="K76">
        <v>45</v>
      </c>
      <c r="L76">
        <v>855</v>
      </c>
      <c r="M76">
        <v>87.33</v>
      </c>
      <c r="N76" t="s">
        <v>41</v>
      </c>
      <c r="O76" t="s">
        <v>95</v>
      </c>
      <c r="P76" t="str">
        <f t="shared" si="2"/>
        <v>Low Value</v>
      </c>
      <c r="Q76" t="str">
        <f t="shared" si="3"/>
        <v>Low</v>
      </c>
      <c r="R76" t="str" cm="1">
        <f t="array" ref="R76">_xlfn.IFS(L76&gt;50000,"Premium",L76&gt;20000,"High",L76&gt;5000,"Medium",TRUE,"Low")</f>
        <v>Low</v>
      </c>
    </row>
    <row r="77" spans="1:18" x14ac:dyDescent="0.3">
      <c r="A77" t="s">
        <v>292</v>
      </c>
      <c r="B77" s="1">
        <v>45167</v>
      </c>
      <c r="C77" t="s">
        <v>293</v>
      </c>
      <c r="D77" t="s">
        <v>294</v>
      </c>
      <c r="E77" t="s">
        <v>31</v>
      </c>
      <c r="F77" t="s">
        <v>32</v>
      </c>
      <c r="G77" t="s">
        <v>253</v>
      </c>
      <c r="H77">
        <v>2</v>
      </c>
      <c r="I77">
        <v>350</v>
      </c>
      <c r="J77">
        <v>10</v>
      </c>
      <c r="K77">
        <v>70</v>
      </c>
      <c r="L77">
        <v>630</v>
      </c>
      <c r="M77">
        <v>165.11</v>
      </c>
      <c r="N77" t="s">
        <v>34</v>
      </c>
      <c r="O77" t="s">
        <v>95</v>
      </c>
      <c r="P77" t="str">
        <f t="shared" si="2"/>
        <v>Low Value</v>
      </c>
      <c r="Q77" t="str">
        <f t="shared" si="3"/>
        <v>Low</v>
      </c>
      <c r="R77" t="str" cm="1">
        <f t="array" ref="R77">_xlfn.IFS(L77&gt;50000,"Premium",L77&gt;20000,"High",L77&gt;5000,"Medium",TRUE,"Low")</f>
        <v>Low</v>
      </c>
    </row>
    <row r="78" spans="1:18" x14ac:dyDescent="0.3">
      <c r="A78" t="s">
        <v>295</v>
      </c>
      <c r="B78" s="1">
        <v>45265</v>
      </c>
      <c r="C78" t="s">
        <v>296</v>
      </c>
      <c r="D78" t="s">
        <v>274</v>
      </c>
      <c r="E78" t="s">
        <v>83</v>
      </c>
      <c r="F78" t="s">
        <v>49</v>
      </c>
      <c r="G78" t="s">
        <v>94</v>
      </c>
      <c r="H78">
        <v>4</v>
      </c>
      <c r="I78">
        <v>399</v>
      </c>
      <c r="J78">
        <v>0</v>
      </c>
      <c r="K78">
        <v>0</v>
      </c>
      <c r="L78">
        <v>1596</v>
      </c>
      <c r="M78">
        <v>340.54</v>
      </c>
      <c r="N78" t="s">
        <v>99</v>
      </c>
      <c r="O78" t="s">
        <v>35</v>
      </c>
      <c r="P78" t="str">
        <f t="shared" si="2"/>
        <v>Low Value</v>
      </c>
      <c r="Q78" t="str">
        <f t="shared" si="3"/>
        <v>Low</v>
      </c>
      <c r="R78" t="str" cm="1">
        <f t="array" ref="R78">_xlfn.IFS(L78&gt;50000,"Premium",L78&gt;20000,"High",L78&gt;5000,"Medium",TRUE,"Low")</f>
        <v>Low</v>
      </c>
    </row>
    <row r="79" spans="1:18" x14ac:dyDescent="0.3">
      <c r="A79" t="s">
        <v>297</v>
      </c>
      <c r="B79" s="1">
        <v>45011</v>
      </c>
      <c r="C79" t="s">
        <v>298</v>
      </c>
      <c r="D79" t="s">
        <v>140</v>
      </c>
      <c r="E79" t="s">
        <v>18</v>
      </c>
      <c r="F79" t="s">
        <v>49</v>
      </c>
      <c r="G79" t="s">
        <v>161</v>
      </c>
      <c r="H79">
        <v>5</v>
      </c>
      <c r="I79">
        <v>599</v>
      </c>
      <c r="J79">
        <v>25</v>
      </c>
      <c r="K79">
        <v>748.75</v>
      </c>
      <c r="L79">
        <v>2246.25</v>
      </c>
      <c r="M79">
        <v>667.75</v>
      </c>
      <c r="N79" t="s">
        <v>41</v>
      </c>
      <c r="O79" t="s">
        <v>35</v>
      </c>
      <c r="P79" t="str">
        <f t="shared" si="2"/>
        <v>Low Value</v>
      </c>
      <c r="Q79" t="str">
        <f t="shared" si="3"/>
        <v>Low</v>
      </c>
      <c r="R79" t="str" cm="1">
        <f t="array" ref="R79">_xlfn.IFS(L79&gt;50000,"Premium",L79&gt;20000,"High",L79&gt;5000,"Medium",TRUE,"Low")</f>
        <v>Low</v>
      </c>
    </row>
    <row r="80" spans="1:18" x14ac:dyDescent="0.3">
      <c r="A80" t="s">
        <v>299</v>
      </c>
      <c r="B80" s="1">
        <v>45285</v>
      </c>
      <c r="C80" t="s">
        <v>300</v>
      </c>
      <c r="D80" t="s">
        <v>301</v>
      </c>
      <c r="E80" t="s">
        <v>26</v>
      </c>
      <c r="F80" t="s">
        <v>39</v>
      </c>
      <c r="G80" t="s">
        <v>126</v>
      </c>
      <c r="H80">
        <v>5</v>
      </c>
      <c r="I80">
        <v>4200</v>
      </c>
      <c r="J80">
        <v>20</v>
      </c>
      <c r="K80">
        <v>4200</v>
      </c>
      <c r="L80">
        <v>16800</v>
      </c>
      <c r="M80">
        <v>3328.73</v>
      </c>
      <c r="N80" t="s">
        <v>34</v>
      </c>
      <c r="O80" t="s">
        <v>95</v>
      </c>
      <c r="P80" t="str">
        <f t="shared" si="2"/>
        <v>Low Value</v>
      </c>
      <c r="Q80" t="str">
        <f t="shared" si="3"/>
        <v>Medium</v>
      </c>
      <c r="R80" t="str" cm="1">
        <f t="array" ref="R80">_xlfn.IFS(L80&gt;50000,"Premium",L80&gt;20000,"High",L80&gt;5000,"Medium",TRUE,"Low")</f>
        <v>Medium</v>
      </c>
    </row>
    <row r="81" spans="1:18" x14ac:dyDescent="0.3">
      <c r="A81" t="s">
        <v>302</v>
      </c>
      <c r="B81" s="1">
        <v>45055</v>
      </c>
      <c r="C81" t="s">
        <v>303</v>
      </c>
      <c r="D81" t="s">
        <v>218</v>
      </c>
      <c r="E81" t="s">
        <v>78</v>
      </c>
      <c r="F81" t="s">
        <v>19</v>
      </c>
      <c r="G81" t="s">
        <v>20</v>
      </c>
      <c r="H81">
        <v>2</v>
      </c>
      <c r="I81">
        <v>18000</v>
      </c>
      <c r="J81">
        <v>25</v>
      </c>
      <c r="K81">
        <v>9000</v>
      </c>
      <c r="L81">
        <v>27000</v>
      </c>
      <c r="M81">
        <v>8121.26</v>
      </c>
      <c r="N81" t="s">
        <v>21</v>
      </c>
      <c r="O81" t="s">
        <v>35</v>
      </c>
      <c r="P81" t="str">
        <f t="shared" si="2"/>
        <v>High Value</v>
      </c>
      <c r="Q81" t="str">
        <f t="shared" si="3"/>
        <v>High</v>
      </c>
      <c r="R81" t="str" cm="1">
        <f t="array" ref="R81">_xlfn.IFS(L81&gt;50000,"Premium",L81&gt;20000,"High",L81&gt;5000,"Medium",TRUE,"Low")</f>
        <v>High</v>
      </c>
    </row>
    <row r="82" spans="1:18" x14ac:dyDescent="0.3">
      <c r="A82" t="s">
        <v>304</v>
      </c>
      <c r="B82" s="1">
        <v>45016</v>
      </c>
      <c r="C82" t="s">
        <v>67</v>
      </c>
      <c r="D82" t="s">
        <v>305</v>
      </c>
      <c r="E82" t="s">
        <v>18</v>
      </c>
      <c r="F82" t="s">
        <v>39</v>
      </c>
      <c r="G82" t="s">
        <v>79</v>
      </c>
      <c r="H82">
        <v>4</v>
      </c>
      <c r="I82">
        <v>25000</v>
      </c>
      <c r="J82">
        <v>10</v>
      </c>
      <c r="K82">
        <v>10000</v>
      </c>
      <c r="L82">
        <v>90000</v>
      </c>
      <c r="M82">
        <v>9400.2099999999991</v>
      </c>
      <c r="N82" t="s">
        <v>41</v>
      </c>
      <c r="O82" t="s">
        <v>35</v>
      </c>
      <c r="P82" t="str">
        <f t="shared" si="2"/>
        <v>High Value</v>
      </c>
      <c r="Q82" t="str">
        <f t="shared" si="3"/>
        <v>Premium</v>
      </c>
      <c r="R82" t="str" cm="1">
        <f t="array" ref="R82">_xlfn.IFS(L82&gt;50000,"Premium",L82&gt;20000,"High",L82&gt;5000,"Medium",TRUE,"Low")</f>
        <v>Premium</v>
      </c>
    </row>
    <row r="83" spans="1:18" x14ac:dyDescent="0.3">
      <c r="A83" t="s">
        <v>306</v>
      </c>
      <c r="B83" s="1">
        <v>45136</v>
      </c>
      <c r="C83" t="s">
        <v>307</v>
      </c>
      <c r="D83" t="s">
        <v>308</v>
      </c>
      <c r="E83" t="s">
        <v>26</v>
      </c>
      <c r="F83" t="s">
        <v>32</v>
      </c>
      <c r="G83" t="s">
        <v>309</v>
      </c>
      <c r="H83">
        <v>1</v>
      </c>
      <c r="I83">
        <v>180</v>
      </c>
      <c r="J83">
        <v>5</v>
      </c>
      <c r="K83">
        <v>9</v>
      </c>
      <c r="L83">
        <v>171</v>
      </c>
      <c r="M83">
        <v>25.47</v>
      </c>
      <c r="N83" t="s">
        <v>21</v>
      </c>
      <c r="O83" t="s">
        <v>35</v>
      </c>
      <c r="P83" t="str">
        <f t="shared" si="2"/>
        <v>Low Value</v>
      </c>
      <c r="Q83" t="str">
        <f t="shared" si="3"/>
        <v>Low</v>
      </c>
      <c r="R83" t="str" cm="1">
        <f t="array" ref="R83">_xlfn.IFS(L83&gt;50000,"Premium",L83&gt;20000,"High",L83&gt;5000,"Medium",TRUE,"Low")</f>
        <v>Low</v>
      </c>
    </row>
    <row r="84" spans="1:18" x14ac:dyDescent="0.3">
      <c r="A84" t="s">
        <v>310</v>
      </c>
      <c r="B84" s="1">
        <v>45159</v>
      </c>
      <c r="C84" t="s">
        <v>311</v>
      </c>
      <c r="D84" t="s">
        <v>312</v>
      </c>
      <c r="E84" t="s">
        <v>59</v>
      </c>
      <c r="F84" t="s">
        <v>19</v>
      </c>
      <c r="G84" t="s">
        <v>103</v>
      </c>
      <c r="H84">
        <v>3</v>
      </c>
      <c r="I84">
        <v>3500</v>
      </c>
      <c r="J84">
        <v>10</v>
      </c>
      <c r="K84">
        <v>1050</v>
      </c>
      <c r="L84">
        <v>9450</v>
      </c>
      <c r="M84">
        <v>801.14</v>
      </c>
      <c r="N84" t="s">
        <v>21</v>
      </c>
      <c r="O84" t="s">
        <v>22</v>
      </c>
      <c r="P84" t="str">
        <f t="shared" si="2"/>
        <v>Low Value</v>
      </c>
      <c r="Q84" t="str">
        <f t="shared" si="3"/>
        <v>Medium</v>
      </c>
      <c r="R84" t="str" cm="1">
        <f t="array" ref="R84">_xlfn.IFS(L84&gt;50000,"Premium",L84&gt;20000,"High",L84&gt;5000,"Medium",TRUE,"Low")</f>
        <v>Medium</v>
      </c>
    </row>
    <row r="85" spans="1:18" x14ac:dyDescent="0.3">
      <c r="A85" t="s">
        <v>313</v>
      </c>
      <c r="B85" s="1">
        <v>45138</v>
      </c>
      <c r="C85" t="s">
        <v>314</v>
      </c>
      <c r="D85" t="s">
        <v>315</v>
      </c>
      <c r="E85" t="s">
        <v>31</v>
      </c>
      <c r="F85" t="s">
        <v>19</v>
      </c>
      <c r="G85" t="s">
        <v>65</v>
      </c>
      <c r="H85">
        <v>5</v>
      </c>
      <c r="I85">
        <v>55000</v>
      </c>
      <c r="J85">
        <v>10</v>
      </c>
      <c r="K85">
        <v>27500</v>
      </c>
      <c r="L85">
        <v>247500</v>
      </c>
      <c r="M85">
        <v>58605.57</v>
      </c>
      <c r="N85" t="s">
        <v>34</v>
      </c>
      <c r="O85" t="s">
        <v>95</v>
      </c>
      <c r="P85" t="str">
        <f t="shared" si="2"/>
        <v>High Value</v>
      </c>
      <c r="Q85" t="str">
        <f t="shared" si="3"/>
        <v>Premium</v>
      </c>
      <c r="R85" t="str" cm="1">
        <f t="array" ref="R85">_xlfn.IFS(L85&gt;50000,"Premium",L85&gt;20000,"High",L85&gt;5000,"Medium",TRUE,"Low")</f>
        <v>Premium</v>
      </c>
    </row>
    <row r="86" spans="1:18" x14ac:dyDescent="0.3">
      <c r="A86" t="s">
        <v>316</v>
      </c>
      <c r="B86" s="1">
        <v>44994</v>
      </c>
      <c r="C86" t="s">
        <v>317</v>
      </c>
      <c r="D86" t="s">
        <v>318</v>
      </c>
      <c r="E86" t="s">
        <v>83</v>
      </c>
      <c r="F86" t="s">
        <v>32</v>
      </c>
      <c r="G86" t="s">
        <v>259</v>
      </c>
      <c r="H86">
        <v>4</v>
      </c>
      <c r="I86">
        <v>450</v>
      </c>
      <c r="J86">
        <v>0</v>
      </c>
      <c r="K86">
        <v>0</v>
      </c>
      <c r="L86">
        <v>1800</v>
      </c>
      <c r="M86">
        <v>105.59</v>
      </c>
      <c r="N86" t="s">
        <v>34</v>
      </c>
      <c r="O86" t="s">
        <v>95</v>
      </c>
      <c r="P86" t="str">
        <f t="shared" si="2"/>
        <v>Low Value</v>
      </c>
      <c r="Q86" t="str">
        <f t="shared" si="3"/>
        <v>Low</v>
      </c>
      <c r="R86" t="str" cm="1">
        <f t="array" ref="R86">_xlfn.IFS(L86&gt;50000,"Premium",L86&gt;20000,"High",L86&gt;5000,"Medium",TRUE,"Low")</f>
        <v>Low</v>
      </c>
    </row>
    <row r="87" spans="1:18" x14ac:dyDescent="0.3">
      <c r="A87" t="s">
        <v>319</v>
      </c>
      <c r="B87" s="1">
        <v>44934</v>
      </c>
      <c r="C87" t="s">
        <v>320</v>
      </c>
      <c r="D87" t="s">
        <v>321</v>
      </c>
      <c r="E87" t="s">
        <v>18</v>
      </c>
      <c r="F87" t="s">
        <v>74</v>
      </c>
      <c r="G87" t="s">
        <v>75</v>
      </c>
      <c r="H87">
        <v>1</v>
      </c>
      <c r="I87">
        <v>2200</v>
      </c>
      <c r="J87">
        <v>5</v>
      </c>
      <c r="K87">
        <v>110</v>
      </c>
      <c r="L87">
        <v>2090</v>
      </c>
      <c r="M87">
        <v>726.65</v>
      </c>
      <c r="N87" t="s">
        <v>27</v>
      </c>
      <c r="O87" t="s">
        <v>22</v>
      </c>
      <c r="P87" t="str">
        <f t="shared" si="2"/>
        <v>Low Value</v>
      </c>
      <c r="Q87" t="str">
        <f t="shared" si="3"/>
        <v>Low</v>
      </c>
      <c r="R87" t="str" cm="1">
        <f t="array" ref="R87">_xlfn.IFS(L87&gt;50000,"Premium",L87&gt;20000,"High",L87&gt;5000,"Medium",TRUE,"Low")</f>
        <v>Low</v>
      </c>
    </row>
    <row r="88" spans="1:18" x14ac:dyDescent="0.3">
      <c r="A88" t="s">
        <v>322</v>
      </c>
      <c r="B88" s="1">
        <v>45076</v>
      </c>
      <c r="C88" t="s">
        <v>323</v>
      </c>
      <c r="D88" t="s">
        <v>324</v>
      </c>
      <c r="E88" t="s">
        <v>83</v>
      </c>
      <c r="F88" t="s">
        <v>74</v>
      </c>
      <c r="G88" t="s">
        <v>192</v>
      </c>
      <c r="H88">
        <v>3</v>
      </c>
      <c r="I88">
        <v>12000</v>
      </c>
      <c r="J88">
        <v>15</v>
      </c>
      <c r="K88">
        <v>5400</v>
      </c>
      <c r="L88">
        <v>30600</v>
      </c>
      <c r="M88">
        <v>9192.77</v>
      </c>
      <c r="N88" t="s">
        <v>41</v>
      </c>
      <c r="O88" t="s">
        <v>35</v>
      </c>
      <c r="P88" t="str">
        <f t="shared" si="2"/>
        <v>High Value</v>
      </c>
      <c r="Q88" t="str">
        <f t="shared" si="3"/>
        <v>High</v>
      </c>
      <c r="R88" t="str" cm="1">
        <f t="array" ref="R88">_xlfn.IFS(L88&gt;50000,"Premium",L88&gt;20000,"High",L88&gt;5000,"Medium",TRUE,"Low")</f>
        <v>High</v>
      </c>
    </row>
    <row r="89" spans="1:18" x14ac:dyDescent="0.3">
      <c r="A89" t="s">
        <v>325</v>
      </c>
      <c r="B89" s="1">
        <v>45233</v>
      </c>
      <c r="C89" t="s">
        <v>326</v>
      </c>
      <c r="D89" t="s">
        <v>327</v>
      </c>
      <c r="E89" t="s">
        <v>78</v>
      </c>
      <c r="F89" t="s">
        <v>74</v>
      </c>
      <c r="G89" t="s">
        <v>192</v>
      </c>
      <c r="H89">
        <v>2</v>
      </c>
      <c r="I89">
        <v>12000</v>
      </c>
      <c r="J89">
        <v>0</v>
      </c>
      <c r="K89">
        <v>0</v>
      </c>
      <c r="L89">
        <v>24000</v>
      </c>
      <c r="M89">
        <v>3188.98</v>
      </c>
      <c r="N89" t="s">
        <v>99</v>
      </c>
      <c r="O89" t="s">
        <v>35</v>
      </c>
      <c r="P89" t="str">
        <f t="shared" si="2"/>
        <v>High Value</v>
      </c>
      <c r="Q89" t="str">
        <f t="shared" si="3"/>
        <v>High</v>
      </c>
      <c r="R89" t="str" cm="1">
        <f t="array" ref="R89">_xlfn.IFS(L89&gt;50000,"Premium",L89&gt;20000,"High",L89&gt;5000,"Medium",TRUE,"Low")</f>
        <v>High</v>
      </c>
    </row>
    <row r="90" spans="1:18" x14ac:dyDescent="0.3">
      <c r="A90" t="s">
        <v>328</v>
      </c>
      <c r="B90" s="1">
        <v>45079</v>
      </c>
      <c r="C90" t="s">
        <v>329</v>
      </c>
      <c r="D90" t="s">
        <v>330</v>
      </c>
      <c r="E90" t="s">
        <v>54</v>
      </c>
      <c r="F90" t="s">
        <v>49</v>
      </c>
      <c r="G90" t="s">
        <v>331</v>
      </c>
      <c r="H90">
        <v>5</v>
      </c>
      <c r="I90">
        <v>699</v>
      </c>
      <c r="J90">
        <v>25</v>
      </c>
      <c r="K90">
        <v>873.75</v>
      </c>
      <c r="L90">
        <v>2621.25</v>
      </c>
      <c r="M90">
        <v>516.1</v>
      </c>
      <c r="N90" t="s">
        <v>34</v>
      </c>
      <c r="O90" t="s">
        <v>35</v>
      </c>
      <c r="P90" t="str">
        <f t="shared" si="2"/>
        <v>Low Value</v>
      </c>
      <c r="Q90" t="str">
        <f t="shared" si="3"/>
        <v>Low</v>
      </c>
      <c r="R90" t="str" cm="1">
        <f t="array" ref="R90">_xlfn.IFS(L90&gt;50000,"Premium",L90&gt;20000,"High",L90&gt;5000,"Medium",TRUE,"Low")</f>
        <v>Low</v>
      </c>
    </row>
    <row r="91" spans="1:18" x14ac:dyDescent="0.3">
      <c r="A91" t="s">
        <v>332</v>
      </c>
      <c r="B91" s="1">
        <v>45209</v>
      </c>
      <c r="C91" t="s">
        <v>333</v>
      </c>
      <c r="D91" t="s">
        <v>334</v>
      </c>
      <c r="E91" t="s">
        <v>26</v>
      </c>
      <c r="F91" t="s">
        <v>49</v>
      </c>
      <c r="G91" t="s">
        <v>331</v>
      </c>
      <c r="H91">
        <v>4</v>
      </c>
      <c r="I91">
        <v>699</v>
      </c>
      <c r="J91">
        <v>15</v>
      </c>
      <c r="K91">
        <v>419.4</v>
      </c>
      <c r="L91">
        <v>2376.6</v>
      </c>
      <c r="M91">
        <v>783.94</v>
      </c>
      <c r="N91" t="s">
        <v>27</v>
      </c>
      <c r="O91" t="s">
        <v>22</v>
      </c>
      <c r="P91" t="str">
        <f t="shared" si="2"/>
        <v>Low Value</v>
      </c>
      <c r="Q91" t="str">
        <f t="shared" si="3"/>
        <v>Low</v>
      </c>
      <c r="R91" t="str" cm="1">
        <f t="array" ref="R91">_xlfn.IFS(L91&gt;50000,"Premium",L91&gt;20000,"High",L91&gt;5000,"Medium",TRUE,"Low")</f>
        <v>Low</v>
      </c>
    </row>
    <row r="92" spans="1:18" x14ac:dyDescent="0.3">
      <c r="A92" t="s">
        <v>335</v>
      </c>
      <c r="B92" s="1">
        <v>44949</v>
      </c>
      <c r="C92" t="s">
        <v>336</v>
      </c>
      <c r="D92" t="s">
        <v>337</v>
      </c>
      <c r="E92" t="s">
        <v>54</v>
      </c>
      <c r="F92" t="s">
        <v>32</v>
      </c>
      <c r="G92" t="s">
        <v>55</v>
      </c>
      <c r="H92">
        <v>4</v>
      </c>
      <c r="I92">
        <v>250</v>
      </c>
      <c r="J92">
        <v>25</v>
      </c>
      <c r="K92">
        <v>250</v>
      </c>
      <c r="L92">
        <v>750</v>
      </c>
      <c r="M92">
        <v>243.02</v>
      </c>
      <c r="N92" t="s">
        <v>99</v>
      </c>
      <c r="O92" t="s">
        <v>35</v>
      </c>
      <c r="P92" t="str">
        <f t="shared" si="2"/>
        <v>Low Value</v>
      </c>
      <c r="Q92" t="str">
        <f t="shared" si="3"/>
        <v>Low</v>
      </c>
      <c r="R92" t="str" cm="1">
        <f t="array" ref="R92">_xlfn.IFS(L92&gt;50000,"Premium",L92&gt;20000,"High",L92&gt;5000,"Medium",TRUE,"Low")</f>
        <v>Low</v>
      </c>
    </row>
    <row r="93" spans="1:18" x14ac:dyDescent="0.3">
      <c r="A93" t="s">
        <v>338</v>
      </c>
      <c r="B93" s="1">
        <v>45184</v>
      </c>
      <c r="C93" t="s">
        <v>339</v>
      </c>
      <c r="D93" t="s">
        <v>340</v>
      </c>
      <c r="E93" t="s">
        <v>83</v>
      </c>
      <c r="F93" t="s">
        <v>74</v>
      </c>
      <c r="G93" t="s">
        <v>341</v>
      </c>
      <c r="H93">
        <v>1</v>
      </c>
      <c r="I93">
        <v>700</v>
      </c>
      <c r="J93">
        <v>15</v>
      </c>
      <c r="K93">
        <v>105</v>
      </c>
      <c r="L93">
        <v>595</v>
      </c>
      <c r="M93">
        <v>47.55</v>
      </c>
      <c r="N93" t="s">
        <v>41</v>
      </c>
      <c r="O93" t="s">
        <v>35</v>
      </c>
      <c r="P93" t="str">
        <f t="shared" si="2"/>
        <v>Low Value</v>
      </c>
      <c r="Q93" t="str">
        <f t="shared" si="3"/>
        <v>Low</v>
      </c>
      <c r="R93" t="str" cm="1">
        <f t="array" ref="R93">_xlfn.IFS(L93&gt;50000,"Premium",L93&gt;20000,"High",L93&gt;5000,"Medium",TRUE,"Low")</f>
        <v>Low</v>
      </c>
    </row>
    <row r="94" spans="1:18" x14ac:dyDescent="0.3">
      <c r="A94" t="s">
        <v>342</v>
      </c>
      <c r="B94" s="1">
        <v>44965</v>
      </c>
      <c r="C94" t="s">
        <v>343</v>
      </c>
      <c r="D94" t="s">
        <v>344</v>
      </c>
      <c r="E94" t="s">
        <v>26</v>
      </c>
      <c r="F94" t="s">
        <v>39</v>
      </c>
      <c r="G94" t="s">
        <v>209</v>
      </c>
      <c r="H94">
        <v>3</v>
      </c>
      <c r="I94">
        <v>3200</v>
      </c>
      <c r="J94">
        <v>10</v>
      </c>
      <c r="K94">
        <v>960</v>
      </c>
      <c r="L94">
        <v>8640</v>
      </c>
      <c r="M94">
        <v>2047.49</v>
      </c>
      <c r="N94" t="s">
        <v>34</v>
      </c>
      <c r="O94" t="s">
        <v>22</v>
      </c>
      <c r="P94" t="str">
        <f t="shared" si="2"/>
        <v>Low Value</v>
      </c>
      <c r="Q94" t="str">
        <f t="shared" si="3"/>
        <v>Medium</v>
      </c>
      <c r="R94" t="str" cm="1">
        <f t="array" ref="R94">_xlfn.IFS(L94&gt;50000,"Premium",L94&gt;20000,"High",L94&gt;5000,"Medium",TRUE,"Low")</f>
        <v>Medium</v>
      </c>
    </row>
    <row r="95" spans="1:18" x14ac:dyDescent="0.3">
      <c r="A95" t="s">
        <v>345</v>
      </c>
      <c r="B95" s="1">
        <v>45204</v>
      </c>
      <c r="C95" t="s">
        <v>298</v>
      </c>
      <c r="D95" t="s">
        <v>212</v>
      </c>
      <c r="E95" t="s">
        <v>18</v>
      </c>
      <c r="F95" t="s">
        <v>19</v>
      </c>
      <c r="G95" t="s">
        <v>130</v>
      </c>
      <c r="H95">
        <v>1</v>
      </c>
      <c r="I95">
        <v>22000</v>
      </c>
      <c r="J95">
        <v>5</v>
      </c>
      <c r="K95">
        <v>1100</v>
      </c>
      <c r="L95">
        <v>20900</v>
      </c>
      <c r="M95">
        <v>5002.38</v>
      </c>
      <c r="N95" t="s">
        <v>41</v>
      </c>
      <c r="O95" t="s">
        <v>35</v>
      </c>
      <c r="P95" t="str">
        <f t="shared" si="2"/>
        <v>High Value</v>
      </c>
      <c r="Q95" t="str">
        <f t="shared" si="3"/>
        <v>High</v>
      </c>
      <c r="R95" t="str" cm="1">
        <f t="array" ref="R95">_xlfn.IFS(L95&gt;50000,"Premium",L95&gt;20000,"High",L95&gt;5000,"Medium",TRUE,"Low")</f>
        <v>High</v>
      </c>
    </row>
    <row r="96" spans="1:18" x14ac:dyDescent="0.3">
      <c r="A96" t="s">
        <v>346</v>
      </c>
      <c r="B96" s="1">
        <v>45251</v>
      </c>
      <c r="C96" t="s">
        <v>347</v>
      </c>
      <c r="D96" t="s">
        <v>348</v>
      </c>
      <c r="E96" t="s">
        <v>48</v>
      </c>
      <c r="F96" t="s">
        <v>60</v>
      </c>
      <c r="G96" t="s">
        <v>349</v>
      </c>
      <c r="H96">
        <v>1</v>
      </c>
      <c r="I96">
        <v>250</v>
      </c>
      <c r="J96">
        <v>15</v>
      </c>
      <c r="K96">
        <v>37.5</v>
      </c>
      <c r="L96">
        <v>212.5</v>
      </c>
      <c r="M96">
        <v>21.23</v>
      </c>
      <c r="N96" t="s">
        <v>99</v>
      </c>
      <c r="O96" t="s">
        <v>35</v>
      </c>
      <c r="P96" t="str">
        <f t="shared" si="2"/>
        <v>Low Value</v>
      </c>
      <c r="Q96" t="str">
        <f t="shared" si="3"/>
        <v>Low</v>
      </c>
      <c r="R96" t="str" cm="1">
        <f t="array" ref="R96">_xlfn.IFS(L96&gt;50000,"Premium",L96&gt;20000,"High",L96&gt;5000,"Medium",TRUE,"Low")</f>
        <v>Low</v>
      </c>
    </row>
    <row r="97" spans="1:18" x14ac:dyDescent="0.3">
      <c r="A97" t="s">
        <v>350</v>
      </c>
      <c r="B97" s="1">
        <v>45110</v>
      </c>
      <c r="C97" t="s">
        <v>351</v>
      </c>
      <c r="D97" t="s">
        <v>352</v>
      </c>
      <c r="E97" t="s">
        <v>83</v>
      </c>
      <c r="F97" t="s">
        <v>32</v>
      </c>
      <c r="G97" t="s">
        <v>259</v>
      </c>
      <c r="H97">
        <v>2</v>
      </c>
      <c r="I97">
        <v>450</v>
      </c>
      <c r="J97">
        <v>5</v>
      </c>
      <c r="K97">
        <v>45</v>
      </c>
      <c r="L97">
        <v>855</v>
      </c>
      <c r="M97">
        <v>178.99</v>
      </c>
      <c r="N97" t="s">
        <v>99</v>
      </c>
      <c r="O97" t="s">
        <v>95</v>
      </c>
      <c r="P97" t="str">
        <f t="shared" si="2"/>
        <v>Low Value</v>
      </c>
      <c r="Q97" t="str">
        <f t="shared" si="3"/>
        <v>Low</v>
      </c>
      <c r="R97" t="str" cm="1">
        <f t="array" ref="R97">_xlfn.IFS(L97&gt;50000,"Premium",L97&gt;20000,"High",L97&gt;5000,"Medium",TRUE,"Low")</f>
        <v>Low</v>
      </c>
    </row>
    <row r="98" spans="1:18" x14ac:dyDescent="0.3">
      <c r="A98" t="s">
        <v>353</v>
      </c>
      <c r="B98" s="1">
        <v>45122</v>
      </c>
      <c r="C98" t="s">
        <v>354</v>
      </c>
      <c r="D98" t="s">
        <v>324</v>
      </c>
      <c r="E98" t="s">
        <v>78</v>
      </c>
      <c r="F98" t="s">
        <v>74</v>
      </c>
      <c r="G98" t="s">
        <v>192</v>
      </c>
      <c r="H98">
        <v>2</v>
      </c>
      <c r="I98">
        <v>12000</v>
      </c>
      <c r="J98">
        <v>15</v>
      </c>
      <c r="K98">
        <v>3600</v>
      </c>
      <c r="L98">
        <v>20400</v>
      </c>
      <c r="M98">
        <v>6606.51</v>
      </c>
      <c r="N98" t="s">
        <v>41</v>
      </c>
      <c r="O98" t="s">
        <v>35</v>
      </c>
      <c r="P98" t="str">
        <f t="shared" si="2"/>
        <v>High Value</v>
      </c>
      <c r="Q98" t="str">
        <f t="shared" si="3"/>
        <v>High</v>
      </c>
      <c r="R98" t="str" cm="1">
        <f t="array" ref="R98">_xlfn.IFS(L98&gt;50000,"Premium",L98&gt;20000,"High",L98&gt;5000,"Medium",TRUE,"Low")</f>
        <v>High</v>
      </c>
    </row>
    <row r="99" spans="1:18" x14ac:dyDescent="0.3">
      <c r="A99" t="s">
        <v>355</v>
      </c>
      <c r="B99" s="1">
        <v>45268</v>
      </c>
      <c r="C99" t="s">
        <v>356</v>
      </c>
      <c r="D99" t="s">
        <v>118</v>
      </c>
      <c r="E99" t="s">
        <v>48</v>
      </c>
      <c r="F99" t="s">
        <v>19</v>
      </c>
      <c r="G99" t="s">
        <v>107</v>
      </c>
      <c r="H99">
        <v>4</v>
      </c>
      <c r="I99">
        <v>4500</v>
      </c>
      <c r="J99">
        <v>10</v>
      </c>
      <c r="K99">
        <v>1800</v>
      </c>
      <c r="L99">
        <v>16200</v>
      </c>
      <c r="M99">
        <v>4103.1899999999996</v>
      </c>
      <c r="N99" t="s">
        <v>21</v>
      </c>
      <c r="O99" t="s">
        <v>35</v>
      </c>
      <c r="P99" t="str">
        <f t="shared" si="2"/>
        <v>Low Value</v>
      </c>
      <c r="Q99" t="str">
        <f t="shared" si="3"/>
        <v>Medium</v>
      </c>
      <c r="R99" t="str" cm="1">
        <f t="array" ref="R99">_xlfn.IFS(L99&gt;50000,"Premium",L99&gt;20000,"High",L99&gt;5000,"Medium",TRUE,"Low")</f>
        <v>Medium</v>
      </c>
    </row>
    <row r="100" spans="1:18" x14ac:dyDescent="0.3">
      <c r="A100" t="s">
        <v>357</v>
      </c>
      <c r="B100" s="1">
        <v>45254</v>
      </c>
      <c r="C100" t="s">
        <v>245</v>
      </c>
      <c r="D100" t="s">
        <v>358</v>
      </c>
      <c r="E100" t="s">
        <v>18</v>
      </c>
      <c r="F100" t="s">
        <v>39</v>
      </c>
      <c r="G100" t="s">
        <v>213</v>
      </c>
      <c r="H100">
        <v>3</v>
      </c>
      <c r="I100">
        <v>15000</v>
      </c>
      <c r="J100">
        <v>15</v>
      </c>
      <c r="K100">
        <v>6750</v>
      </c>
      <c r="L100">
        <v>38250</v>
      </c>
      <c r="M100">
        <v>11612.36</v>
      </c>
      <c r="N100" t="s">
        <v>27</v>
      </c>
      <c r="O100" t="s">
        <v>22</v>
      </c>
      <c r="P100" t="str">
        <f t="shared" si="2"/>
        <v>High Value</v>
      </c>
      <c r="Q100" t="str">
        <f t="shared" si="3"/>
        <v>High</v>
      </c>
      <c r="R100" t="str" cm="1">
        <f t="array" ref="R100">_xlfn.IFS(L100&gt;50000,"Premium",L100&gt;20000,"High",L100&gt;5000,"Medium",TRUE,"Low")</f>
        <v>High</v>
      </c>
    </row>
    <row r="101" spans="1:18" x14ac:dyDescent="0.3">
      <c r="A101" t="s">
        <v>359</v>
      </c>
      <c r="B101" s="1">
        <v>45219</v>
      </c>
      <c r="C101" t="s">
        <v>360</v>
      </c>
      <c r="D101" t="s">
        <v>232</v>
      </c>
      <c r="E101" t="s">
        <v>59</v>
      </c>
      <c r="F101" t="s">
        <v>32</v>
      </c>
      <c r="G101" t="s">
        <v>361</v>
      </c>
      <c r="H101">
        <v>3</v>
      </c>
      <c r="I101">
        <v>90</v>
      </c>
      <c r="J101">
        <v>25</v>
      </c>
      <c r="K101">
        <v>67.5</v>
      </c>
      <c r="L101">
        <v>202.5</v>
      </c>
      <c r="M101">
        <v>28.06</v>
      </c>
      <c r="N101" t="s">
        <v>21</v>
      </c>
      <c r="O101" t="s">
        <v>35</v>
      </c>
      <c r="P101" t="str">
        <f t="shared" si="2"/>
        <v>Low Value</v>
      </c>
      <c r="Q101" t="str">
        <f t="shared" si="3"/>
        <v>Low</v>
      </c>
      <c r="R101" t="str" cm="1">
        <f t="array" ref="R101">_xlfn.IFS(L101&gt;50000,"Premium",L101&gt;20000,"High",L101&gt;5000,"Medium",TRUE,"Low")</f>
        <v>Low</v>
      </c>
    </row>
    <row r="102" spans="1:18" x14ac:dyDescent="0.3">
      <c r="A102" t="s">
        <v>362</v>
      </c>
      <c r="B102" s="1">
        <v>45237</v>
      </c>
      <c r="C102" t="s">
        <v>363</v>
      </c>
      <c r="D102" t="s">
        <v>364</v>
      </c>
      <c r="E102" t="s">
        <v>78</v>
      </c>
      <c r="F102" t="s">
        <v>60</v>
      </c>
      <c r="G102" t="s">
        <v>365</v>
      </c>
      <c r="H102">
        <v>3</v>
      </c>
      <c r="I102">
        <v>650</v>
      </c>
      <c r="J102">
        <v>5</v>
      </c>
      <c r="K102">
        <v>97.5</v>
      </c>
      <c r="L102">
        <v>1852.5</v>
      </c>
      <c r="M102">
        <v>430</v>
      </c>
      <c r="N102" t="s">
        <v>27</v>
      </c>
      <c r="O102" t="s">
        <v>35</v>
      </c>
      <c r="P102" t="str">
        <f t="shared" si="2"/>
        <v>Low Value</v>
      </c>
      <c r="Q102" t="str">
        <f t="shared" si="3"/>
        <v>Low</v>
      </c>
      <c r="R102" t="str" cm="1">
        <f t="array" ref="R102">_xlfn.IFS(L102&gt;50000,"Premium",L102&gt;20000,"High",L102&gt;5000,"Medium",TRUE,"Low")</f>
        <v>Low</v>
      </c>
    </row>
    <row r="103" spans="1:18" x14ac:dyDescent="0.3">
      <c r="A103" t="s">
        <v>366</v>
      </c>
      <c r="B103" s="1">
        <v>45248</v>
      </c>
      <c r="C103" t="s">
        <v>367</v>
      </c>
      <c r="D103" t="s">
        <v>368</v>
      </c>
      <c r="E103" t="s">
        <v>78</v>
      </c>
      <c r="F103" t="s">
        <v>60</v>
      </c>
      <c r="G103" t="s">
        <v>291</v>
      </c>
      <c r="H103">
        <v>3</v>
      </c>
      <c r="I103">
        <v>450</v>
      </c>
      <c r="J103">
        <v>15</v>
      </c>
      <c r="K103">
        <v>202.5</v>
      </c>
      <c r="L103">
        <v>1147.5</v>
      </c>
      <c r="M103">
        <v>68.86</v>
      </c>
      <c r="N103" t="s">
        <v>34</v>
      </c>
      <c r="O103" t="s">
        <v>22</v>
      </c>
      <c r="P103" t="str">
        <f t="shared" si="2"/>
        <v>Low Value</v>
      </c>
      <c r="Q103" t="str">
        <f t="shared" si="3"/>
        <v>Low</v>
      </c>
      <c r="R103" t="str" cm="1">
        <f t="array" ref="R103">_xlfn.IFS(L103&gt;50000,"Premium",L103&gt;20000,"High",L103&gt;5000,"Medium",TRUE,"Low")</f>
        <v>Low</v>
      </c>
    </row>
    <row r="104" spans="1:18" x14ac:dyDescent="0.3">
      <c r="A104" t="s">
        <v>369</v>
      </c>
      <c r="B104" s="1">
        <v>45016</v>
      </c>
      <c r="C104" t="s">
        <v>320</v>
      </c>
      <c r="D104" t="s">
        <v>370</v>
      </c>
      <c r="E104" t="s">
        <v>78</v>
      </c>
      <c r="F104" t="s">
        <v>69</v>
      </c>
      <c r="G104" t="s">
        <v>202</v>
      </c>
      <c r="H104">
        <v>5</v>
      </c>
      <c r="I104">
        <v>1299</v>
      </c>
      <c r="J104">
        <v>10</v>
      </c>
      <c r="K104">
        <v>649.5</v>
      </c>
      <c r="L104">
        <v>5845.5</v>
      </c>
      <c r="M104">
        <v>1223.2</v>
      </c>
      <c r="N104" t="s">
        <v>41</v>
      </c>
      <c r="O104" t="s">
        <v>35</v>
      </c>
      <c r="P104" t="str">
        <f t="shared" si="2"/>
        <v>Low Value</v>
      </c>
      <c r="Q104" t="str">
        <f t="shared" si="3"/>
        <v>Medium</v>
      </c>
      <c r="R104" t="str" cm="1">
        <f t="array" ref="R104">_xlfn.IFS(L104&gt;50000,"Premium",L104&gt;20000,"High",L104&gt;5000,"Medium",TRUE,"Low")</f>
        <v>Medium</v>
      </c>
    </row>
    <row r="105" spans="1:18" x14ac:dyDescent="0.3">
      <c r="A105" t="s">
        <v>371</v>
      </c>
      <c r="B105" s="1">
        <v>45100</v>
      </c>
      <c r="C105" t="s">
        <v>372</v>
      </c>
      <c r="D105" t="s">
        <v>133</v>
      </c>
      <c r="E105" t="s">
        <v>48</v>
      </c>
      <c r="F105" t="s">
        <v>49</v>
      </c>
      <c r="G105" t="s">
        <v>50</v>
      </c>
      <c r="H105">
        <v>4</v>
      </c>
      <c r="I105">
        <v>499</v>
      </c>
      <c r="J105">
        <v>0</v>
      </c>
      <c r="K105">
        <v>0</v>
      </c>
      <c r="L105">
        <v>1996</v>
      </c>
      <c r="M105">
        <v>184.09</v>
      </c>
      <c r="N105" t="s">
        <v>99</v>
      </c>
      <c r="O105" t="s">
        <v>22</v>
      </c>
      <c r="P105" t="str">
        <f t="shared" si="2"/>
        <v>Low Value</v>
      </c>
      <c r="Q105" t="str">
        <f t="shared" si="3"/>
        <v>Low</v>
      </c>
      <c r="R105" t="str" cm="1">
        <f t="array" ref="R105">_xlfn.IFS(L105&gt;50000,"Premium",L105&gt;20000,"High",L105&gt;5000,"Medium",TRUE,"Low")</f>
        <v>Low</v>
      </c>
    </row>
    <row r="106" spans="1:18" x14ac:dyDescent="0.3">
      <c r="A106" t="s">
        <v>373</v>
      </c>
      <c r="B106" s="1">
        <v>44934</v>
      </c>
      <c r="C106" t="s">
        <v>374</v>
      </c>
      <c r="D106" t="s">
        <v>375</v>
      </c>
      <c r="E106" t="s">
        <v>26</v>
      </c>
      <c r="F106" t="s">
        <v>32</v>
      </c>
      <c r="G106" t="s">
        <v>361</v>
      </c>
      <c r="H106">
        <v>1</v>
      </c>
      <c r="I106">
        <v>90</v>
      </c>
      <c r="J106">
        <v>15</v>
      </c>
      <c r="K106">
        <v>13.5</v>
      </c>
      <c r="L106">
        <v>76.5</v>
      </c>
      <c r="M106">
        <v>12.28</v>
      </c>
      <c r="N106" t="s">
        <v>34</v>
      </c>
      <c r="O106" t="s">
        <v>35</v>
      </c>
      <c r="P106" t="str">
        <f t="shared" si="2"/>
        <v>Low Value</v>
      </c>
      <c r="Q106" t="str">
        <f t="shared" si="3"/>
        <v>Low</v>
      </c>
      <c r="R106" t="str" cm="1">
        <f t="array" ref="R106">_xlfn.IFS(L106&gt;50000,"Premium",L106&gt;20000,"High",L106&gt;5000,"Medium",TRUE,"Low")</f>
        <v>Low</v>
      </c>
    </row>
    <row r="107" spans="1:18" x14ac:dyDescent="0.3">
      <c r="A107" t="s">
        <v>376</v>
      </c>
      <c r="B107" s="1">
        <v>45272</v>
      </c>
      <c r="C107" t="s">
        <v>156</v>
      </c>
      <c r="D107" t="s">
        <v>182</v>
      </c>
      <c r="E107" t="s">
        <v>31</v>
      </c>
      <c r="F107" t="s">
        <v>69</v>
      </c>
      <c r="G107" t="s">
        <v>119</v>
      </c>
      <c r="H107">
        <v>1</v>
      </c>
      <c r="I107">
        <v>2500</v>
      </c>
      <c r="J107">
        <v>20</v>
      </c>
      <c r="K107">
        <v>500</v>
      </c>
      <c r="L107">
        <v>2000</v>
      </c>
      <c r="M107">
        <v>630.54</v>
      </c>
      <c r="N107" t="s">
        <v>99</v>
      </c>
      <c r="O107" t="s">
        <v>22</v>
      </c>
      <c r="P107" t="str">
        <f t="shared" si="2"/>
        <v>Low Value</v>
      </c>
      <c r="Q107" t="str">
        <f t="shared" si="3"/>
        <v>Low</v>
      </c>
      <c r="R107" t="str" cm="1">
        <f t="array" ref="R107">_xlfn.IFS(L107&gt;50000,"Premium",L107&gt;20000,"High",L107&gt;5000,"Medium",TRUE,"Low")</f>
        <v>Low</v>
      </c>
    </row>
    <row r="108" spans="1:18" x14ac:dyDescent="0.3">
      <c r="A108" t="s">
        <v>377</v>
      </c>
      <c r="B108" s="1">
        <v>45285</v>
      </c>
      <c r="C108" t="s">
        <v>378</v>
      </c>
      <c r="D108" t="s">
        <v>160</v>
      </c>
      <c r="E108" t="s">
        <v>54</v>
      </c>
      <c r="F108" t="s">
        <v>32</v>
      </c>
      <c r="G108" t="s">
        <v>55</v>
      </c>
      <c r="H108">
        <v>4</v>
      </c>
      <c r="I108">
        <v>250</v>
      </c>
      <c r="J108">
        <v>0</v>
      </c>
      <c r="K108">
        <v>0</v>
      </c>
      <c r="L108">
        <v>1000</v>
      </c>
      <c r="M108">
        <v>91.93</v>
      </c>
      <c r="N108" t="s">
        <v>99</v>
      </c>
      <c r="O108" t="s">
        <v>35</v>
      </c>
      <c r="P108" t="str">
        <f t="shared" si="2"/>
        <v>Low Value</v>
      </c>
      <c r="Q108" t="str">
        <f t="shared" si="3"/>
        <v>Low</v>
      </c>
      <c r="R108" t="str" cm="1">
        <f t="array" ref="R108">_xlfn.IFS(L108&gt;50000,"Premium",L108&gt;20000,"High",L108&gt;5000,"Medium",TRUE,"Low")</f>
        <v>Low</v>
      </c>
    </row>
    <row r="109" spans="1:18" x14ac:dyDescent="0.3">
      <c r="A109" t="s">
        <v>379</v>
      </c>
      <c r="B109" s="1">
        <v>45047</v>
      </c>
      <c r="C109" t="s">
        <v>380</v>
      </c>
      <c r="D109" t="s">
        <v>249</v>
      </c>
      <c r="E109" t="s">
        <v>83</v>
      </c>
      <c r="F109" t="s">
        <v>74</v>
      </c>
      <c r="G109" t="s">
        <v>381</v>
      </c>
      <c r="H109">
        <v>4</v>
      </c>
      <c r="I109">
        <v>800</v>
      </c>
      <c r="J109">
        <v>15</v>
      </c>
      <c r="K109">
        <v>480</v>
      </c>
      <c r="L109">
        <v>2720</v>
      </c>
      <c r="M109">
        <v>438.75</v>
      </c>
      <c r="N109" t="s">
        <v>41</v>
      </c>
      <c r="O109" t="s">
        <v>35</v>
      </c>
      <c r="P109" t="str">
        <f t="shared" si="2"/>
        <v>Low Value</v>
      </c>
      <c r="Q109" t="str">
        <f t="shared" si="3"/>
        <v>Low</v>
      </c>
      <c r="R109" t="str" cm="1">
        <f t="array" ref="R109">_xlfn.IFS(L109&gt;50000,"Premium",L109&gt;20000,"High",L109&gt;5000,"Medium",TRUE,"Low")</f>
        <v>Low</v>
      </c>
    </row>
    <row r="110" spans="1:18" x14ac:dyDescent="0.3">
      <c r="A110" t="s">
        <v>382</v>
      </c>
      <c r="B110" s="1">
        <v>45177</v>
      </c>
      <c r="C110" t="s">
        <v>383</v>
      </c>
      <c r="D110" t="s">
        <v>384</v>
      </c>
      <c r="E110" t="s">
        <v>31</v>
      </c>
      <c r="F110" t="s">
        <v>74</v>
      </c>
      <c r="G110" t="s">
        <v>75</v>
      </c>
      <c r="H110">
        <v>3</v>
      </c>
      <c r="I110">
        <v>2200</v>
      </c>
      <c r="J110">
        <v>0</v>
      </c>
      <c r="K110">
        <v>0</v>
      </c>
      <c r="L110">
        <v>6600</v>
      </c>
      <c r="M110">
        <v>1696.76</v>
      </c>
      <c r="N110" t="s">
        <v>34</v>
      </c>
      <c r="O110" t="s">
        <v>35</v>
      </c>
      <c r="P110" t="str">
        <f t="shared" si="2"/>
        <v>Low Value</v>
      </c>
      <c r="Q110" t="str">
        <f t="shared" si="3"/>
        <v>Medium</v>
      </c>
      <c r="R110" t="str" cm="1">
        <f t="array" ref="R110">_xlfn.IFS(L110&gt;50000,"Premium",L110&gt;20000,"High",L110&gt;5000,"Medium",TRUE,"Low")</f>
        <v>Medium</v>
      </c>
    </row>
    <row r="111" spans="1:18" x14ac:dyDescent="0.3">
      <c r="A111" t="s">
        <v>385</v>
      </c>
      <c r="B111" s="1">
        <v>45278</v>
      </c>
      <c r="C111" t="s">
        <v>179</v>
      </c>
      <c r="D111" t="s">
        <v>321</v>
      </c>
      <c r="E111" t="s">
        <v>18</v>
      </c>
      <c r="F111" t="s">
        <v>32</v>
      </c>
      <c r="G111" t="s">
        <v>361</v>
      </c>
      <c r="H111">
        <v>3</v>
      </c>
      <c r="I111">
        <v>90</v>
      </c>
      <c r="J111">
        <v>0</v>
      </c>
      <c r="K111">
        <v>0</v>
      </c>
      <c r="L111">
        <v>270</v>
      </c>
      <c r="M111">
        <v>45.75</v>
      </c>
      <c r="N111" t="s">
        <v>27</v>
      </c>
      <c r="O111" t="s">
        <v>95</v>
      </c>
      <c r="P111" t="str">
        <f t="shared" si="2"/>
        <v>Low Value</v>
      </c>
      <c r="Q111" t="str">
        <f t="shared" si="3"/>
        <v>Low</v>
      </c>
      <c r="R111" t="str" cm="1">
        <f t="array" ref="R111">_xlfn.IFS(L111&gt;50000,"Premium",L111&gt;20000,"High",L111&gt;5000,"Medium",TRUE,"Low")</f>
        <v>Low</v>
      </c>
    </row>
    <row r="112" spans="1:18" x14ac:dyDescent="0.3">
      <c r="A112" t="s">
        <v>386</v>
      </c>
      <c r="B112" s="1">
        <v>44937</v>
      </c>
      <c r="C112" t="s">
        <v>387</v>
      </c>
      <c r="D112" t="s">
        <v>388</v>
      </c>
      <c r="E112" t="s">
        <v>18</v>
      </c>
      <c r="F112" t="s">
        <v>19</v>
      </c>
      <c r="G112" t="s">
        <v>107</v>
      </c>
      <c r="H112">
        <v>3</v>
      </c>
      <c r="I112">
        <v>4500</v>
      </c>
      <c r="J112">
        <v>5</v>
      </c>
      <c r="K112">
        <v>675</v>
      </c>
      <c r="L112">
        <v>12825</v>
      </c>
      <c r="M112">
        <v>4445.74</v>
      </c>
      <c r="N112" t="s">
        <v>21</v>
      </c>
      <c r="O112" t="s">
        <v>35</v>
      </c>
      <c r="P112" t="str">
        <f t="shared" si="2"/>
        <v>Low Value</v>
      </c>
      <c r="Q112" t="str">
        <f t="shared" si="3"/>
        <v>Medium</v>
      </c>
      <c r="R112" t="str" cm="1">
        <f t="array" ref="R112">_xlfn.IFS(L112&gt;50000,"Premium",L112&gt;20000,"High",L112&gt;5000,"Medium",TRUE,"Low")</f>
        <v>Medium</v>
      </c>
    </row>
    <row r="113" spans="1:18" x14ac:dyDescent="0.3">
      <c r="A113" t="s">
        <v>389</v>
      </c>
      <c r="B113" s="1">
        <v>45227</v>
      </c>
      <c r="C113" t="s">
        <v>390</v>
      </c>
      <c r="D113" t="s">
        <v>391</v>
      </c>
      <c r="E113" t="s">
        <v>78</v>
      </c>
      <c r="F113" t="s">
        <v>69</v>
      </c>
      <c r="G113" t="s">
        <v>111</v>
      </c>
      <c r="H113">
        <v>2</v>
      </c>
      <c r="I113">
        <v>3499</v>
      </c>
      <c r="J113">
        <v>10</v>
      </c>
      <c r="K113">
        <v>699.8</v>
      </c>
      <c r="L113">
        <v>6298.2</v>
      </c>
      <c r="M113">
        <v>1778.05</v>
      </c>
      <c r="N113" t="s">
        <v>27</v>
      </c>
      <c r="O113" t="s">
        <v>35</v>
      </c>
      <c r="P113" t="str">
        <f t="shared" si="2"/>
        <v>Low Value</v>
      </c>
      <c r="Q113" t="str">
        <f t="shared" si="3"/>
        <v>Medium</v>
      </c>
      <c r="R113" t="str" cm="1">
        <f t="array" ref="R113">_xlfn.IFS(L113&gt;50000,"Premium",L113&gt;20000,"High",L113&gt;5000,"Medium",TRUE,"Low")</f>
        <v>Medium</v>
      </c>
    </row>
    <row r="114" spans="1:18" x14ac:dyDescent="0.3">
      <c r="A114" t="s">
        <v>392</v>
      </c>
      <c r="B114" s="1">
        <v>45203</v>
      </c>
      <c r="C114" t="s">
        <v>24</v>
      </c>
      <c r="D114" t="s">
        <v>393</v>
      </c>
      <c r="E114" t="s">
        <v>48</v>
      </c>
      <c r="F114" t="s">
        <v>32</v>
      </c>
      <c r="G114" t="s">
        <v>33</v>
      </c>
      <c r="H114">
        <v>2</v>
      </c>
      <c r="I114">
        <v>400</v>
      </c>
      <c r="J114">
        <v>0</v>
      </c>
      <c r="K114">
        <v>0</v>
      </c>
      <c r="L114">
        <v>800</v>
      </c>
      <c r="M114">
        <v>198.65</v>
      </c>
      <c r="N114" t="s">
        <v>27</v>
      </c>
      <c r="O114" t="s">
        <v>95</v>
      </c>
      <c r="P114" t="str">
        <f t="shared" si="2"/>
        <v>Low Value</v>
      </c>
      <c r="Q114" t="str">
        <f t="shared" si="3"/>
        <v>Low</v>
      </c>
      <c r="R114" t="str" cm="1">
        <f t="array" ref="R114">_xlfn.IFS(L114&gt;50000,"Premium",L114&gt;20000,"High",L114&gt;5000,"Medium",TRUE,"Low")</f>
        <v>Low</v>
      </c>
    </row>
    <row r="115" spans="1:18" x14ac:dyDescent="0.3">
      <c r="A115" t="s">
        <v>394</v>
      </c>
      <c r="B115" s="1">
        <v>45092</v>
      </c>
      <c r="C115" t="s">
        <v>395</v>
      </c>
      <c r="D115" t="s">
        <v>396</v>
      </c>
      <c r="E115" t="s">
        <v>18</v>
      </c>
      <c r="F115" t="s">
        <v>19</v>
      </c>
      <c r="G115" t="s">
        <v>65</v>
      </c>
      <c r="H115">
        <v>3</v>
      </c>
      <c r="I115">
        <v>55000</v>
      </c>
      <c r="J115">
        <v>0</v>
      </c>
      <c r="K115">
        <v>0</v>
      </c>
      <c r="L115">
        <v>165000</v>
      </c>
      <c r="M115">
        <v>14524.55</v>
      </c>
      <c r="N115" t="s">
        <v>41</v>
      </c>
      <c r="O115" t="s">
        <v>22</v>
      </c>
      <c r="P115" t="str">
        <f t="shared" si="2"/>
        <v>High Value</v>
      </c>
      <c r="Q115" t="str">
        <f t="shared" si="3"/>
        <v>Premium</v>
      </c>
      <c r="R115" t="str" cm="1">
        <f t="array" ref="R115">_xlfn.IFS(L115&gt;50000,"Premium",L115&gt;20000,"High",L115&gt;5000,"Medium",TRUE,"Low")</f>
        <v>Premium</v>
      </c>
    </row>
    <row r="116" spans="1:18" x14ac:dyDescent="0.3">
      <c r="A116" t="s">
        <v>397</v>
      </c>
      <c r="B116" s="1">
        <v>45112</v>
      </c>
      <c r="C116" t="s">
        <v>378</v>
      </c>
      <c r="D116" t="s">
        <v>301</v>
      </c>
      <c r="E116" t="s">
        <v>78</v>
      </c>
      <c r="F116" t="s">
        <v>74</v>
      </c>
      <c r="G116" t="s">
        <v>144</v>
      </c>
      <c r="H116">
        <v>1</v>
      </c>
      <c r="I116">
        <v>1500</v>
      </c>
      <c r="J116">
        <v>15</v>
      </c>
      <c r="K116">
        <v>225</v>
      </c>
      <c r="L116">
        <v>1275</v>
      </c>
      <c r="M116">
        <v>256.47000000000003</v>
      </c>
      <c r="N116" t="s">
        <v>41</v>
      </c>
      <c r="O116" t="s">
        <v>35</v>
      </c>
      <c r="P116" t="str">
        <f t="shared" si="2"/>
        <v>Low Value</v>
      </c>
      <c r="Q116" t="str">
        <f t="shared" si="3"/>
        <v>Low</v>
      </c>
      <c r="R116" t="str" cm="1">
        <f t="array" ref="R116">_xlfn.IFS(L116&gt;50000,"Premium",L116&gt;20000,"High",L116&gt;5000,"Medium",TRUE,"Low")</f>
        <v>Low</v>
      </c>
    </row>
    <row r="117" spans="1:18" x14ac:dyDescent="0.3">
      <c r="A117" t="s">
        <v>398</v>
      </c>
      <c r="B117" s="1">
        <v>44958</v>
      </c>
      <c r="C117" t="s">
        <v>399</v>
      </c>
      <c r="D117" t="s">
        <v>294</v>
      </c>
      <c r="E117" t="s">
        <v>18</v>
      </c>
      <c r="F117" t="s">
        <v>39</v>
      </c>
      <c r="G117" t="s">
        <v>209</v>
      </c>
      <c r="H117">
        <v>4</v>
      </c>
      <c r="I117">
        <v>3200</v>
      </c>
      <c r="J117">
        <v>15</v>
      </c>
      <c r="K117">
        <v>1920</v>
      </c>
      <c r="L117">
        <v>10880</v>
      </c>
      <c r="M117">
        <v>2783.42</v>
      </c>
      <c r="N117" t="s">
        <v>34</v>
      </c>
      <c r="O117" t="s">
        <v>95</v>
      </c>
      <c r="P117" t="str">
        <f t="shared" si="2"/>
        <v>Low Value</v>
      </c>
      <c r="Q117" t="str">
        <f t="shared" si="3"/>
        <v>Medium</v>
      </c>
      <c r="R117" t="str" cm="1">
        <f t="array" ref="R117">_xlfn.IFS(L117&gt;50000,"Premium",L117&gt;20000,"High",L117&gt;5000,"Medium",TRUE,"Low")</f>
        <v>Medium</v>
      </c>
    </row>
    <row r="118" spans="1:18" x14ac:dyDescent="0.3">
      <c r="A118" t="s">
        <v>400</v>
      </c>
      <c r="B118" s="1">
        <v>45002</v>
      </c>
      <c r="C118" t="s">
        <v>187</v>
      </c>
      <c r="D118" t="s">
        <v>401</v>
      </c>
      <c r="E118" t="s">
        <v>78</v>
      </c>
      <c r="F118" t="s">
        <v>19</v>
      </c>
      <c r="G118" t="s">
        <v>65</v>
      </c>
      <c r="H118">
        <v>3</v>
      </c>
      <c r="I118">
        <v>55000</v>
      </c>
      <c r="J118">
        <v>20</v>
      </c>
      <c r="K118">
        <v>33000</v>
      </c>
      <c r="L118">
        <v>132000</v>
      </c>
      <c r="M118">
        <v>31669.84</v>
      </c>
      <c r="N118" t="s">
        <v>41</v>
      </c>
      <c r="O118" t="s">
        <v>95</v>
      </c>
      <c r="P118" t="str">
        <f t="shared" si="2"/>
        <v>High Value</v>
      </c>
      <c r="Q118" t="str">
        <f t="shared" si="3"/>
        <v>Premium</v>
      </c>
      <c r="R118" t="str" cm="1">
        <f t="array" ref="R118">_xlfn.IFS(L118&gt;50000,"Premium",L118&gt;20000,"High",L118&gt;5000,"Medium",TRUE,"Low")</f>
        <v>Premium</v>
      </c>
    </row>
    <row r="119" spans="1:18" x14ac:dyDescent="0.3">
      <c r="A119" t="s">
        <v>402</v>
      </c>
      <c r="B119" s="1">
        <v>45236</v>
      </c>
      <c r="C119" t="s">
        <v>57</v>
      </c>
      <c r="D119" t="s">
        <v>25</v>
      </c>
      <c r="E119" t="s">
        <v>26</v>
      </c>
      <c r="F119" t="s">
        <v>39</v>
      </c>
      <c r="G119" t="s">
        <v>40</v>
      </c>
      <c r="H119">
        <v>1</v>
      </c>
      <c r="I119">
        <v>8500</v>
      </c>
      <c r="J119">
        <v>25</v>
      </c>
      <c r="K119">
        <v>2125</v>
      </c>
      <c r="L119">
        <v>6375</v>
      </c>
      <c r="M119">
        <v>1563.63</v>
      </c>
      <c r="N119" t="s">
        <v>41</v>
      </c>
      <c r="O119" t="s">
        <v>35</v>
      </c>
      <c r="P119" t="str">
        <f t="shared" si="2"/>
        <v>Low Value</v>
      </c>
      <c r="Q119" t="str">
        <f t="shared" si="3"/>
        <v>Medium</v>
      </c>
      <c r="R119" t="str" cm="1">
        <f t="array" ref="R119">_xlfn.IFS(L119&gt;50000,"Premium",L119&gt;20000,"High",L119&gt;5000,"Medium",TRUE,"Low")</f>
        <v>Medium</v>
      </c>
    </row>
    <row r="120" spans="1:18" x14ac:dyDescent="0.3">
      <c r="A120" t="s">
        <v>403</v>
      </c>
      <c r="B120" s="1">
        <v>45138</v>
      </c>
      <c r="C120" t="s">
        <v>404</v>
      </c>
      <c r="D120" t="s">
        <v>405</v>
      </c>
      <c r="E120" t="s">
        <v>48</v>
      </c>
      <c r="F120" t="s">
        <v>32</v>
      </c>
      <c r="G120" t="s">
        <v>33</v>
      </c>
      <c r="H120">
        <v>4</v>
      </c>
      <c r="I120">
        <v>400</v>
      </c>
      <c r="J120">
        <v>15</v>
      </c>
      <c r="K120">
        <v>240</v>
      </c>
      <c r="L120">
        <v>1360</v>
      </c>
      <c r="M120">
        <v>237.72</v>
      </c>
      <c r="N120" t="s">
        <v>34</v>
      </c>
      <c r="O120" t="s">
        <v>35</v>
      </c>
      <c r="P120" t="str">
        <f t="shared" si="2"/>
        <v>Low Value</v>
      </c>
      <c r="Q120" t="str">
        <f t="shared" si="3"/>
        <v>Low</v>
      </c>
      <c r="R120" t="str" cm="1">
        <f t="array" ref="R120">_xlfn.IFS(L120&gt;50000,"Premium",L120&gt;20000,"High",L120&gt;5000,"Medium",TRUE,"Low")</f>
        <v>Low</v>
      </c>
    </row>
    <row r="121" spans="1:18" x14ac:dyDescent="0.3">
      <c r="A121" t="s">
        <v>406</v>
      </c>
      <c r="B121" s="1">
        <v>45005</v>
      </c>
      <c r="C121" t="s">
        <v>407</v>
      </c>
      <c r="D121" t="s">
        <v>408</v>
      </c>
      <c r="E121" t="s">
        <v>48</v>
      </c>
      <c r="F121" t="s">
        <v>60</v>
      </c>
      <c r="G121" t="s">
        <v>365</v>
      </c>
      <c r="H121">
        <v>1</v>
      </c>
      <c r="I121">
        <v>650</v>
      </c>
      <c r="J121">
        <v>0</v>
      </c>
      <c r="K121">
        <v>0</v>
      </c>
      <c r="L121">
        <v>650</v>
      </c>
      <c r="M121">
        <v>194.7</v>
      </c>
      <c r="N121" t="s">
        <v>27</v>
      </c>
      <c r="O121" t="s">
        <v>95</v>
      </c>
      <c r="P121" t="str">
        <f t="shared" si="2"/>
        <v>Low Value</v>
      </c>
      <c r="Q121" t="str">
        <f t="shared" si="3"/>
        <v>Low</v>
      </c>
      <c r="R121" t="str" cm="1">
        <f t="array" ref="R121">_xlfn.IFS(L121&gt;50000,"Premium",L121&gt;20000,"High",L121&gt;5000,"Medium",TRUE,"Low")</f>
        <v>Low</v>
      </c>
    </row>
    <row r="122" spans="1:18" x14ac:dyDescent="0.3">
      <c r="A122" t="s">
        <v>409</v>
      </c>
      <c r="B122" s="1">
        <v>44957</v>
      </c>
      <c r="C122" t="s">
        <v>410</v>
      </c>
      <c r="D122" t="s">
        <v>411</v>
      </c>
      <c r="E122" t="s">
        <v>59</v>
      </c>
      <c r="F122" t="s">
        <v>74</v>
      </c>
      <c r="G122" t="s">
        <v>144</v>
      </c>
      <c r="H122">
        <v>5</v>
      </c>
      <c r="I122">
        <v>1500</v>
      </c>
      <c r="J122">
        <v>10</v>
      </c>
      <c r="K122">
        <v>750</v>
      </c>
      <c r="L122">
        <v>6750</v>
      </c>
      <c r="M122">
        <v>1694.28</v>
      </c>
      <c r="N122" t="s">
        <v>34</v>
      </c>
      <c r="O122" t="s">
        <v>95</v>
      </c>
      <c r="P122" t="str">
        <f t="shared" si="2"/>
        <v>Low Value</v>
      </c>
      <c r="Q122" t="str">
        <f t="shared" si="3"/>
        <v>Medium</v>
      </c>
      <c r="R122" t="str" cm="1">
        <f t="array" ref="R122">_xlfn.IFS(L122&gt;50000,"Premium",L122&gt;20000,"High",L122&gt;5000,"Medium",TRUE,"Low")</f>
        <v>Medium</v>
      </c>
    </row>
    <row r="123" spans="1:18" x14ac:dyDescent="0.3">
      <c r="A123" t="s">
        <v>412</v>
      </c>
      <c r="B123" s="1">
        <v>45086</v>
      </c>
      <c r="C123" t="s">
        <v>413</v>
      </c>
      <c r="D123" t="s">
        <v>414</v>
      </c>
      <c r="E123" t="s">
        <v>18</v>
      </c>
      <c r="F123" t="s">
        <v>32</v>
      </c>
      <c r="G123" t="s">
        <v>253</v>
      </c>
      <c r="H123">
        <v>5</v>
      </c>
      <c r="I123">
        <v>350</v>
      </c>
      <c r="J123">
        <v>20</v>
      </c>
      <c r="K123">
        <v>350</v>
      </c>
      <c r="L123">
        <v>1400</v>
      </c>
      <c r="M123">
        <v>159.35</v>
      </c>
      <c r="N123" t="s">
        <v>34</v>
      </c>
      <c r="O123" t="s">
        <v>95</v>
      </c>
      <c r="P123" t="str">
        <f t="shared" si="2"/>
        <v>Low Value</v>
      </c>
      <c r="Q123" t="str">
        <f t="shared" si="3"/>
        <v>Low</v>
      </c>
      <c r="R123" t="str" cm="1">
        <f t="array" ref="R123">_xlfn.IFS(L123&gt;50000,"Premium",L123&gt;20000,"High",L123&gt;5000,"Medium",TRUE,"Low")</f>
        <v>Low</v>
      </c>
    </row>
    <row r="124" spans="1:18" x14ac:dyDescent="0.3">
      <c r="A124" t="s">
        <v>415</v>
      </c>
      <c r="B124" s="1">
        <v>45115</v>
      </c>
      <c r="C124" t="s">
        <v>416</v>
      </c>
      <c r="D124" t="s">
        <v>222</v>
      </c>
      <c r="E124" t="s">
        <v>59</v>
      </c>
      <c r="F124" t="s">
        <v>19</v>
      </c>
      <c r="G124" t="s">
        <v>107</v>
      </c>
      <c r="H124">
        <v>3</v>
      </c>
      <c r="I124">
        <v>4500</v>
      </c>
      <c r="J124">
        <v>20</v>
      </c>
      <c r="K124">
        <v>2700</v>
      </c>
      <c r="L124">
        <v>10800</v>
      </c>
      <c r="M124">
        <v>1272.76</v>
      </c>
      <c r="N124" t="s">
        <v>21</v>
      </c>
      <c r="O124" t="s">
        <v>35</v>
      </c>
      <c r="P124" t="str">
        <f t="shared" si="2"/>
        <v>Low Value</v>
      </c>
      <c r="Q124" t="str">
        <f t="shared" si="3"/>
        <v>Medium</v>
      </c>
      <c r="R124" t="str" cm="1">
        <f t="array" ref="R124">_xlfn.IFS(L124&gt;50000,"Premium",L124&gt;20000,"High",L124&gt;5000,"Medium",TRUE,"Low")</f>
        <v>Medium</v>
      </c>
    </row>
    <row r="125" spans="1:18" x14ac:dyDescent="0.3">
      <c r="A125" t="s">
        <v>417</v>
      </c>
      <c r="B125" s="1">
        <v>44941</v>
      </c>
      <c r="C125" t="s">
        <v>418</v>
      </c>
      <c r="D125" t="s">
        <v>419</v>
      </c>
      <c r="E125" t="s">
        <v>26</v>
      </c>
      <c r="F125" t="s">
        <v>69</v>
      </c>
      <c r="G125" t="s">
        <v>275</v>
      </c>
      <c r="H125">
        <v>3</v>
      </c>
      <c r="I125">
        <v>799</v>
      </c>
      <c r="J125">
        <v>10</v>
      </c>
      <c r="K125">
        <v>239.7</v>
      </c>
      <c r="L125">
        <v>2157.3000000000002</v>
      </c>
      <c r="M125">
        <v>335.04</v>
      </c>
      <c r="N125" t="s">
        <v>99</v>
      </c>
      <c r="O125" t="s">
        <v>35</v>
      </c>
      <c r="P125" t="str">
        <f t="shared" si="2"/>
        <v>Low Value</v>
      </c>
      <c r="Q125" t="str">
        <f t="shared" si="3"/>
        <v>Low</v>
      </c>
      <c r="R125" t="str" cm="1">
        <f t="array" ref="R125">_xlfn.IFS(L125&gt;50000,"Premium",L125&gt;20000,"High",L125&gt;5000,"Medium",TRUE,"Low")</f>
        <v>Low</v>
      </c>
    </row>
    <row r="126" spans="1:18" x14ac:dyDescent="0.3">
      <c r="A126" t="s">
        <v>420</v>
      </c>
      <c r="B126" s="1">
        <v>45251</v>
      </c>
      <c r="C126" t="s">
        <v>421</v>
      </c>
      <c r="D126" t="s">
        <v>422</v>
      </c>
      <c r="E126" t="s">
        <v>48</v>
      </c>
      <c r="F126" t="s">
        <v>19</v>
      </c>
      <c r="G126" t="s">
        <v>20</v>
      </c>
      <c r="H126">
        <v>5</v>
      </c>
      <c r="I126">
        <v>18000</v>
      </c>
      <c r="J126">
        <v>5</v>
      </c>
      <c r="K126">
        <v>4500</v>
      </c>
      <c r="L126">
        <v>85500</v>
      </c>
      <c r="M126">
        <v>13924.39</v>
      </c>
      <c r="N126" t="s">
        <v>34</v>
      </c>
      <c r="O126" t="s">
        <v>35</v>
      </c>
      <c r="P126" t="str">
        <f t="shared" si="2"/>
        <v>High Value</v>
      </c>
      <c r="Q126" t="str">
        <f t="shared" si="3"/>
        <v>Premium</v>
      </c>
      <c r="R126" t="str" cm="1">
        <f t="array" ref="R126">_xlfn.IFS(L126&gt;50000,"Premium",L126&gt;20000,"High",L126&gt;5000,"Medium",TRUE,"Low")</f>
        <v>Premium</v>
      </c>
    </row>
    <row r="127" spans="1:18" x14ac:dyDescent="0.3">
      <c r="A127" t="s">
        <v>423</v>
      </c>
      <c r="B127" s="1">
        <v>45217</v>
      </c>
      <c r="C127" t="s">
        <v>424</v>
      </c>
      <c r="D127" t="s">
        <v>425</v>
      </c>
      <c r="E127" t="s">
        <v>78</v>
      </c>
      <c r="F127" t="s">
        <v>74</v>
      </c>
      <c r="G127" t="s">
        <v>137</v>
      </c>
      <c r="H127">
        <v>1</v>
      </c>
      <c r="I127">
        <v>2500</v>
      </c>
      <c r="J127">
        <v>5</v>
      </c>
      <c r="K127">
        <v>125</v>
      </c>
      <c r="L127">
        <v>2375</v>
      </c>
      <c r="M127">
        <v>230.9</v>
      </c>
      <c r="N127" t="s">
        <v>41</v>
      </c>
      <c r="O127" t="s">
        <v>22</v>
      </c>
      <c r="P127" t="str">
        <f t="shared" si="2"/>
        <v>Low Value</v>
      </c>
      <c r="Q127" t="str">
        <f t="shared" si="3"/>
        <v>Low</v>
      </c>
      <c r="R127" t="str" cm="1">
        <f t="array" ref="R127">_xlfn.IFS(L127&gt;50000,"Premium",L127&gt;20000,"High",L127&gt;5000,"Medium",TRUE,"Low")</f>
        <v>Low</v>
      </c>
    </row>
    <row r="128" spans="1:18" x14ac:dyDescent="0.3">
      <c r="A128" t="s">
        <v>426</v>
      </c>
      <c r="B128" s="1">
        <v>45175</v>
      </c>
      <c r="C128" t="s">
        <v>427</v>
      </c>
      <c r="D128" t="s">
        <v>428</v>
      </c>
      <c r="E128" t="s">
        <v>26</v>
      </c>
      <c r="F128" t="s">
        <v>74</v>
      </c>
      <c r="G128" t="s">
        <v>75</v>
      </c>
      <c r="H128">
        <v>4</v>
      </c>
      <c r="I128">
        <v>2200</v>
      </c>
      <c r="J128">
        <v>10</v>
      </c>
      <c r="K128">
        <v>880</v>
      </c>
      <c r="L128">
        <v>7920</v>
      </c>
      <c r="M128">
        <v>908.19</v>
      </c>
      <c r="N128" t="s">
        <v>99</v>
      </c>
      <c r="O128" t="s">
        <v>35</v>
      </c>
      <c r="P128" t="str">
        <f t="shared" si="2"/>
        <v>Low Value</v>
      </c>
      <c r="Q128" t="str">
        <f t="shared" si="3"/>
        <v>Medium</v>
      </c>
      <c r="R128" t="str" cm="1">
        <f t="array" ref="R128">_xlfn.IFS(L128&gt;50000,"Premium",L128&gt;20000,"High",L128&gt;5000,"Medium",TRUE,"Low")</f>
        <v>Medium</v>
      </c>
    </row>
    <row r="129" spans="1:18" x14ac:dyDescent="0.3">
      <c r="A129" t="s">
        <v>429</v>
      </c>
      <c r="B129" s="1">
        <v>45274</v>
      </c>
      <c r="C129" t="s">
        <v>430</v>
      </c>
      <c r="D129" t="s">
        <v>133</v>
      </c>
      <c r="E129" t="s">
        <v>59</v>
      </c>
      <c r="F129" t="s">
        <v>60</v>
      </c>
      <c r="G129" t="s">
        <v>61</v>
      </c>
      <c r="H129">
        <v>4</v>
      </c>
      <c r="I129">
        <v>850</v>
      </c>
      <c r="J129">
        <v>20</v>
      </c>
      <c r="K129">
        <v>680</v>
      </c>
      <c r="L129">
        <v>2720</v>
      </c>
      <c r="M129">
        <v>680.38</v>
      </c>
      <c r="N129" t="s">
        <v>99</v>
      </c>
      <c r="O129" t="s">
        <v>35</v>
      </c>
      <c r="P129" t="str">
        <f t="shared" si="2"/>
        <v>Low Value</v>
      </c>
      <c r="Q129" t="str">
        <f t="shared" si="3"/>
        <v>Low</v>
      </c>
      <c r="R129" t="str" cm="1">
        <f t="array" ref="R129">_xlfn.IFS(L129&gt;50000,"Premium",L129&gt;20000,"High",L129&gt;5000,"Medium",TRUE,"Low")</f>
        <v>Low</v>
      </c>
    </row>
    <row r="130" spans="1:18" x14ac:dyDescent="0.3">
      <c r="A130" t="s">
        <v>431</v>
      </c>
      <c r="B130" s="1">
        <v>45081</v>
      </c>
      <c r="C130" t="s">
        <v>432</v>
      </c>
      <c r="D130" t="s">
        <v>433</v>
      </c>
      <c r="E130" t="s">
        <v>26</v>
      </c>
      <c r="F130" t="s">
        <v>69</v>
      </c>
      <c r="G130" t="s">
        <v>111</v>
      </c>
      <c r="H130">
        <v>2</v>
      </c>
      <c r="I130">
        <v>3499</v>
      </c>
      <c r="J130">
        <v>10</v>
      </c>
      <c r="K130">
        <v>699.8</v>
      </c>
      <c r="L130">
        <v>6298.2</v>
      </c>
      <c r="M130">
        <v>861.81</v>
      </c>
      <c r="N130" t="s">
        <v>27</v>
      </c>
      <c r="O130" t="s">
        <v>35</v>
      </c>
      <c r="P130" t="str">
        <f t="shared" si="2"/>
        <v>Low Value</v>
      </c>
      <c r="Q130" t="str">
        <f t="shared" si="3"/>
        <v>Medium</v>
      </c>
      <c r="R130" t="str" cm="1">
        <f t="array" ref="R130">_xlfn.IFS(L130&gt;50000,"Premium",L130&gt;20000,"High",L130&gt;5000,"Medium",TRUE,"Low")</f>
        <v>Medium</v>
      </c>
    </row>
    <row r="131" spans="1:18" x14ac:dyDescent="0.3">
      <c r="A131" t="s">
        <v>434</v>
      </c>
      <c r="B131" s="1">
        <v>45121</v>
      </c>
      <c r="C131" t="s">
        <v>257</v>
      </c>
      <c r="D131" t="s">
        <v>435</v>
      </c>
      <c r="E131" t="s">
        <v>26</v>
      </c>
      <c r="F131" t="s">
        <v>74</v>
      </c>
      <c r="G131" t="s">
        <v>192</v>
      </c>
      <c r="H131">
        <v>2</v>
      </c>
      <c r="I131">
        <v>12000</v>
      </c>
      <c r="J131">
        <v>20</v>
      </c>
      <c r="K131">
        <v>4800</v>
      </c>
      <c r="L131">
        <v>19200</v>
      </c>
      <c r="M131">
        <v>4178.25</v>
      </c>
      <c r="N131" t="s">
        <v>99</v>
      </c>
      <c r="O131" t="s">
        <v>22</v>
      </c>
      <c r="P131" t="str">
        <f t="shared" ref="P131:P194" si="4">IF(L131&gt;20000,"High Value","Low Value")</f>
        <v>Low Value</v>
      </c>
      <c r="Q131" t="str">
        <f t="shared" ref="Q131:Q194" si="5">IF(L131&gt;50000,"Premium",IF(L131&gt;20000,"High",IF(L131&gt;5000,"Medium","Low")))</f>
        <v>Medium</v>
      </c>
      <c r="R131" t="str" cm="1">
        <f t="array" ref="R131">_xlfn.IFS(L131&gt;50000,"Premium",L131&gt;20000,"High",L131&gt;5000,"Medium",TRUE,"Low")</f>
        <v>Medium</v>
      </c>
    </row>
    <row r="132" spans="1:18" x14ac:dyDescent="0.3">
      <c r="A132" t="s">
        <v>436</v>
      </c>
      <c r="B132" s="1">
        <v>44936</v>
      </c>
      <c r="C132" t="s">
        <v>437</v>
      </c>
      <c r="D132" t="s">
        <v>438</v>
      </c>
      <c r="E132" t="s">
        <v>18</v>
      </c>
      <c r="F132" t="s">
        <v>39</v>
      </c>
      <c r="G132" t="s">
        <v>40</v>
      </c>
      <c r="H132">
        <v>3</v>
      </c>
      <c r="I132">
        <v>8500</v>
      </c>
      <c r="J132">
        <v>20</v>
      </c>
      <c r="K132">
        <v>5100</v>
      </c>
      <c r="L132">
        <v>20400</v>
      </c>
      <c r="M132">
        <v>3647.22</v>
      </c>
      <c r="N132" t="s">
        <v>41</v>
      </c>
      <c r="O132" t="s">
        <v>35</v>
      </c>
      <c r="P132" t="str">
        <f t="shared" si="4"/>
        <v>High Value</v>
      </c>
      <c r="Q132" t="str">
        <f t="shared" si="5"/>
        <v>High</v>
      </c>
      <c r="R132" t="str" cm="1">
        <f t="array" ref="R132">_xlfn.IFS(L132&gt;50000,"Premium",L132&gt;20000,"High",L132&gt;5000,"Medium",TRUE,"Low")</f>
        <v>High</v>
      </c>
    </row>
    <row r="133" spans="1:18" x14ac:dyDescent="0.3">
      <c r="A133" t="s">
        <v>439</v>
      </c>
      <c r="B133" s="1">
        <v>45093</v>
      </c>
      <c r="C133" t="s">
        <v>170</v>
      </c>
      <c r="D133" t="s">
        <v>435</v>
      </c>
      <c r="E133" t="s">
        <v>26</v>
      </c>
      <c r="F133" t="s">
        <v>69</v>
      </c>
      <c r="G133" t="s">
        <v>111</v>
      </c>
      <c r="H133">
        <v>5</v>
      </c>
      <c r="I133">
        <v>3499</v>
      </c>
      <c r="J133">
        <v>15</v>
      </c>
      <c r="K133">
        <v>2624.25</v>
      </c>
      <c r="L133">
        <v>14870.75</v>
      </c>
      <c r="M133">
        <v>4455.3900000000003</v>
      </c>
      <c r="N133" t="s">
        <v>99</v>
      </c>
      <c r="O133" t="s">
        <v>35</v>
      </c>
      <c r="P133" t="str">
        <f t="shared" si="4"/>
        <v>Low Value</v>
      </c>
      <c r="Q133" t="str">
        <f t="shared" si="5"/>
        <v>Medium</v>
      </c>
      <c r="R133" t="str" cm="1">
        <f t="array" ref="R133">_xlfn.IFS(L133&gt;50000,"Premium",L133&gt;20000,"High",L133&gt;5000,"Medium",TRUE,"Low")</f>
        <v>Medium</v>
      </c>
    </row>
    <row r="134" spans="1:18" x14ac:dyDescent="0.3">
      <c r="A134" t="s">
        <v>440</v>
      </c>
      <c r="B134" s="1">
        <v>45150</v>
      </c>
      <c r="C134" t="s">
        <v>441</v>
      </c>
      <c r="D134" t="s">
        <v>442</v>
      </c>
      <c r="E134" t="s">
        <v>48</v>
      </c>
      <c r="F134" t="s">
        <v>74</v>
      </c>
      <c r="G134" t="s">
        <v>75</v>
      </c>
      <c r="H134">
        <v>5</v>
      </c>
      <c r="I134">
        <v>2200</v>
      </c>
      <c r="J134">
        <v>0</v>
      </c>
      <c r="K134">
        <v>0</v>
      </c>
      <c r="L134">
        <v>11000</v>
      </c>
      <c r="M134">
        <v>1856.03</v>
      </c>
      <c r="N134" t="s">
        <v>27</v>
      </c>
      <c r="O134" t="s">
        <v>35</v>
      </c>
      <c r="P134" t="str">
        <f t="shared" si="4"/>
        <v>Low Value</v>
      </c>
      <c r="Q134" t="str">
        <f t="shared" si="5"/>
        <v>Medium</v>
      </c>
      <c r="R134" t="str" cm="1">
        <f t="array" ref="R134">_xlfn.IFS(L134&gt;50000,"Premium",L134&gt;20000,"High",L134&gt;5000,"Medium",TRUE,"Low")</f>
        <v>Medium</v>
      </c>
    </row>
    <row r="135" spans="1:18" x14ac:dyDescent="0.3">
      <c r="A135" t="s">
        <v>443</v>
      </c>
      <c r="B135" s="1">
        <v>45188</v>
      </c>
      <c r="C135" t="s">
        <v>444</v>
      </c>
      <c r="D135" t="s">
        <v>445</v>
      </c>
      <c r="E135" t="s">
        <v>83</v>
      </c>
      <c r="F135" t="s">
        <v>60</v>
      </c>
      <c r="G135" t="s">
        <v>291</v>
      </c>
      <c r="H135">
        <v>5</v>
      </c>
      <c r="I135">
        <v>450</v>
      </c>
      <c r="J135">
        <v>20</v>
      </c>
      <c r="K135">
        <v>450</v>
      </c>
      <c r="L135">
        <v>1800</v>
      </c>
      <c r="M135">
        <v>194.71</v>
      </c>
      <c r="N135" t="s">
        <v>27</v>
      </c>
      <c r="O135" t="s">
        <v>35</v>
      </c>
      <c r="P135" t="str">
        <f t="shared" si="4"/>
        <v>Low Value</v>
      </c>
      <c r="Q135" t="str">
        <f t="shared" si="5"/>
        <v>Low</v>
      </c>
      <c r="R135" t="str" cm="1">
        <f t="array" ref="R135">_xlfn.IFS(L135&gt;50000,"Premium",L135&gt;20000,"High",L135&gt;5000,"Medium",TRUE,"Low")</f>
        <v>Low</v>
      </c>
    </row>
    <row r="136" spans="1:18" x14ac:dyDescent="0.3">
      <c r="A136" t="s">
        <v>446</v>
      </c>
      <c r="B136" s="1">
        <v>45001</v>
      </c>
      <c r="C136" t="s">
        <v>447</v>
      </c>
      <c r="D136" t="s">
        <v>448</v>
      </c>
      <c r="E136" t="s">
        <v>54</v>
      </c>
      <c r="F136" t="s">
        <v>32</v>
      </c>
      <c r="G136" t="s">
        <v>148</v>
      </c>
      <c r="H136">
        <v>2</v>
      </c>
      <c r="I136">
        <v>120</v>
      </c>
      <c r="J136">
        <v>20</v>
      </c>
      <c r="K136">
        <v>48</v>
      </c>
      <c r="L136">
        <v>192</v>
      </c>
      <c r="M136">
        <v>18.41</v>
      </c>
      <c r="N136" t="s">
        <v>41</v>
      </c>
      <c r="O136" t="s">
        <v>95</v>
      </c>
      <c r="P136" t="str">
        <f t="shared" si="4"/>
        <v>Low Value</v>
      </c>
      <c r="Q136" t="str">
        <f t="shared" si="5"/>
        <v>Low</v>
      </c>
      <c r="R136" t="str" cm="1">
        <f t="array" ref="R136">_xlfn.IFS(L136&gt;50000,"Premium",L136&gt;20000,"High",L136&gt;5000,"Medium",TRUE,"Low")</f>
        <v>Low</v>
      </c>
    </row>
    <row r="137" spans="1:18" x14ac:dyDescent="0.3">
      <c r="A137" t="s">
        <v>449</v>
      </c>
      <c r="B137" s="1">
        <v>45223</v>
      </c>
      <c r="C137" t="s">
        <v>450</v>
      </c>
      <c r="D137" t="s">
        <v>451</v>
      </c>
      <c r="E137" t="s">
        <v>83</v>
      </c>
      <c r="F137" t="s">
        <v>39</v>
      </c>
      <c r="G137" t="s">
        <v>213</v>
      </c>
      <c r="H137">
        <v>5</v>
      </c>
      <c r="I137">
        <v>15000</v>
      </c>
      <c r="J137">
        <v>25</v>
      </c>
      <c r="K137">
        <v>18750</v>
      </c>
      <c r="L137">
        <v>56250</v>
      </c>
      <c r="M137">
        <v>13533.16</v>
      </c>
      <c r="N137" t="s">
        <v>41</v>
      </c>
      <c r="O137" t="s">
        <v>35</v>
      </c>
      <c r="P137" t="str">
        <f t="shared" si="4"/>
        <v>High Value</v>
      </c>
      <c r="Q137" t="str">
        <f t="shared" si="5"/>
        <v>Premium</v>
      </c>
      <c r="R137" t="str" cm="1">
        <f t="array" ref="R137">_xlfn.IFS(L137&gt;50000,"Premium",L137&gt;20000,"High",L137&gt;5000,"Medium",TRUE,"Low")</f>
        <v>Premium</v>
      </c>
    </row>
    <row r="138" spans="1:18" x14ac:dyDescent="0.3">
      <c r="A138" t="s">
        <v>452</v>
      </c>
      <c r="B138" s="1">
        <v>45167</v>
      </c>
      <c r="C138" t="s">
        <v>363</v>
      </c>
      <c r="D138" t="s">
        <v>453</v>
      </c>
      <c r="E138" t="s">
        <v>78</v>
      </c>
      <c r="F138" t="s">
        <v>39</v>
      </c>
      <c r="G138" t="s">
        <v>213</v>
      </c>
      <c r="H138">
        <v>3</v>
      </c>
      <c r="I138">
        <v>15000</v>
      </c>
      <c r="J138">
        <v>10</v>
      </c>
      <c r="K138">
        <v>4500</v>
      </c>
      <c r="L138">
        <v>40500</v>
      </c>
      <c r="M138">
        <v>9210.75</v>
      </c>
      <c r="N138" t="s">
        <v>41</v>
      </c>
      <c r="O138" t="s">
        <v>22</v>
      </c>
      <c r="P138" t="str">
        <f t="shared" si="4"/>
        <v>High Value</v>
      </c>
      <c r="Q138" t="str">
        <f t="shared" si="5"/>
        <v>High</v>
      </c>
      <c r="R138" t="str" cm="1">
        <f t="array" ref="R138">_xlfn.IFS(L138&gt;50000,"Premium",L138&gt;20000,"High",L138&gt;5000,"Medium",TRUE,"Low")</f>
        <v>High</v>
      </c>
    </row>
    <row r="139" spans="1:18" x14ac:dyDescent="0.3">
      <c r="A139" t="s">
        <v>454</v>
      </c>
      <c r="B139" s="1">
        <v>44946</v>
      </c>
      <c r="C139" t="s">
        <v>360</v>
      </c>
      <c r="D139" t="s">
        <v>455</v>
      </c>
      <c r="E139" t="s">
        <v>26</v>
      </c>
      <c r="F139" t="s">
        <v>19</v>
      </c>
      <c r="G139" t="s">
        <v>103</v>
      </c>
      <c r="H139">
        <v>3</v>
      </c>
      <c r="I139">
        <v>3500</v>
      </c>
      <c r="J139">
        <v>0</v>
      </c>
      <c r="K139">
        <v>0</v>
      </c>
      <c r="L139">
        <v>10500</v>
      </c>
      <c r="M139">
        <v>2555.6999999999998</v>
      </c>
      <c r="N139" t="s">
        <v>41</v>
      </c>
      <c r="O139" t="s">
        <v>95</v>
      </c>
      <c r="P139" t="str">
        <f t="shared" si="4"/>
        <v>Low Value</v>
      </c>
      <c r="Q139" t="str">
        <f t="shared" si="5"/>
        <v>Medium</v>
      </c>
      <c r="R139" t="str" cm="1">
        <f t="array" ref="R139">_xlfn.IFS(L139&gt;50000,"Premium",L139&gt;20000,"High",L139&gt;5000,"Medium",TRUE,"Low")</f>
        <v>Medium</v>
      </c>
    </row>
    <row r="140" spans="1:18" x14ac:dyDescent="0.3">
      <c r="A140" t="s">
        <v>456</v>
      </c>
      <c r="B140" s="1">
        <v>45210</v>
      </c>
      <c r="C140" t="s">
        <v>457</v>
      </c>
      <c r="D140" t="s">
        <v>151</v>
      </c>
      <c r="E140" t="s">
        <v>54</v>
      </c>
      <c r="F140" t="s">
        <v>49</v>
      </c>
      <c r="G140" t="s">
        <v>458</v>
      </c>
      <c r="H140">
        <v>1</v>
      </c>
      <c r="I140">
        <v>549</v>
      </c>
      <c r="J140">
        <v>15</v>
      </c>
      <c r="K140">
        <v>82.35</v>
      </c>
      <c r="L140">
        <v>466.65</v>
      </c>
      <c r="M140">
        <v>150.59</v>
      </c>
      <c r="N140" t="s">
        <v>21</v>
      </c>
      <c r="O140" t="s">
        <v>35</v>
      </c>
      <c r="P140" t="str">
        <f t="shared" si="4"/>
        <v>Low Value</v>
      </c>
      <c r="Q140" t="str">
        <f t="shared" si="5"/>
        <v>Low</v>
      </c>
      <c r="R140" t="str" cm="1">
        <f t="array" ref="R140">_xlfn.IFS(L140&gt;50000,"Premium",L140&gt;20000,"High",L140&gt;5000,"Medium",TRUE,"Low")</f>
        <v>Low</v>
      </c>
    </row>
    <row r="141" spans="1:18" x14ac:dyDescent="0.3">
      <c r="A141" t="s">
        <v>459</v>
      </c>
      <c r="B141" s="1">
        <v>44958</v>
      </c>
      <c r="C141" t="s">
        <v>460</v>
      </c>
      <c r="D141" t="s">
        <v>461</v>
      </c>
      <c r="E141" t="s">
        <v>31</v>
      </c>
      <c r="F141" t="s">
        <v>39</v>
      </c>
      <c r="G141" t="s">
        <v>40</v>
      </c>
      <c r="H141">
        <v>3</v>
      </c>
      <c r="I141">
        <v>8500</v>
      </c>
      <c r="J141">
        <v>25</v>
      </c>
      <c r="K141">
        <v>6375</v>
      </c>
      <c r="L141">
        <v>19125</v>
      </c>
      <c r="M141">
        <v>1440.09</v>
      </c>
      <c r="N141" t="s">
        <v>41</v>
      </c>
      <c r="O141" t="s">
        <v>22</v>
      </c>
      <c r="P141" t="str">
        <f t="shared" si="4"/>
        <v>Low Value</v>
      </c>
      <c r="Q141" t="str">
        <f t="shared" si="5"/>
        <v>Medium</v>
      </c>
      <c r="R141" t="str" cm="1">
        <f t="array" ref="R141">_xlfn.IFS(L141&gt;50000,"Premium",L141&gt;20000,"High",L141&gt;5000,"Medium",TRUE,"Low")</f>
        <v>Medium</v>
      </c>
    </row>
    <row r="142" spans="1:18" x14ac:dyDescent="0.3">
      <c r="A142" t="s">
        <v>462</v>
      </c>
      <c r="B142" s="1">
        <v>45195</v>
      </c>
      <c r="C142" t="s">
        <v>463</v>
      </c>
      <c r="D142" t="s">
        <v>464</v>
      </c>
      <c r="E142" t="s">
        <v>48</v>
      </c>
      <c r="F142" t="s">
        <v>74</v>
      </c>
      <c r="G142" t="s">
        <v>144</v>
      </c>
      <c r="H142">
        <v>2</v>
      </c>
      <c r="I142">
        <v>1500</v>
      </c>
      <c r="J142">
        <v>10</v>
      </c>
      <c r="K142">
        <v>300</v>
      </c>
      <c r="L142">
        <v>2700</v>
      </c>
      <c r="M142">
        <v>437.01</v>
      </c>
      <c r="N142" t="s">
        <v>21</v>
      </c>
      <c r="O142" t="s">
        <v>35</v>
      </c>
      <c r="P142" t="str">
        <f t="shared" si="4"/>
        <v>Low Value</v>
      </c>
      <c r="Q142" t="str">
        <f t="shared" si="5"/>
        <v>Low</v>
      </c>
      <c r="R142" t="str" cm="1">
        <f t="array" ref="R142">_xlfn.IFS(L142&gt;50000,"Premium",L142&gt;20000,"High",L142&gt;5000,"Medium",TRUE,"Low")</f>
        <v>Low</v>
      </c>
    </row>
    <row r="143" spans="1:18" x14ac:dyDescent="0.3">
      <c r="A143" t="s">
        <v>465</v>
      </c>
      <c r="B143" s="1">
        <v>45250</v>
      </c>
      <c r="C143" t="s">
        <v>224</v>
      </c>
      <c r="D143" t="s">
        <v>466</v>
      </c>
      <c r="E143" t="s">
        <v>78</v>
      </c>
      <c r="F143" t="s">
        <v>60</v>
      </c>
      <c r="G143" t="s">
        <v>141</v>
      </c>
      <c r="H143">
        <v>1</v>
      </c>
      <c r="I143">
        <v>350</v>
      </c>
      <c r="J143">
        <v>10</v>
      </c>
      <c r="K143">
        <v>35</v>
      </c>
      <c r="L143">
        <v>315</v>
      </c>
      <c r="M143">
        <v>24.68</v>
      </c>
      <c r="N143" t="s">
        <v>21</v>
      </c>
      <c r="O143" t="s">
        <v>35</v>
      </c>
      <c r="P143" t="str">
        <f t="shared" si="4"/>
        <v>Low Value</v>
      </c>
      <c r="Q143" t="str">
        <f t="shared" si="5"/>
        <v>Low</v>
      </c>
      <c r="R143" t="str" cm="1">
        <f t="array" ref="R143">_xlfn.IFS(L143&gt;50000,"Premium",L143&gt;20000,"High",L143&gt;5000,"Medium",TRUE,"Low")</f>
        <v>Low</v>
      </c>
    </row>
    <row r="144" spans="1:18" x14ac:dyDescent="0.3">
      <c r="A144" t="s">
        <v>467</v>
      </c>
      <c r="B144" s="1">
        <v>45097</v>
      </c>
      <c r="C144" t="s">
        <v>63</v>
      </c>
      <c r="D144" t="s">
        <v>337</v>
      </c>
      <c r="E144" t="s">
        <v>18</v>
      </c>
      <c r="F144" t="s">
        <v>19</v>
      </c>
      <c r="G144" t="s">
        <v>130</v>
      </c>
      <c r="H144">
        <v>2</v>
      </c>
      <c r="I144">
        <v>22000</v>
      </c>
      <c r="J144">
        <v>10</v>
      </c>
      <c r="K144">
        <v>4400</v>
      </c>
      <c r="L144">
        <v>39600</v>
      </c>
      <c r="M144">
        <v>5665.55</v>
      </c>
      <c r="N144" t="s">
        <v>34</v>
      </c>
      <c r="O144" t="s">
        <v>95</v>
      </c>
      <c r="P144" t="str">
        <f t="shared" si="4"/>
        <v>High Value</v>
      </c>
      <c r="Q144" t="str">
        <f t="shared" si="5"/>
        <v>High</v>
      </c>
      <c r="R144" t="str" cm="1">
        <f t="array" ref="R144">_xlfn.IFS(L144&gt;50000,"Premium",L144&gt;20000,"High",L144&gt;5000,"Medium",TRUE,"Low")</f>
        <v>High</v>
      </c>
    </row>
    <row r="145" spans="1:18" x14ac:dyDescent="0.3">
      <c r="A145" t="s">
        <v>468</v>
      </c>
      <c r="B145" s="1">
        <v>45119</v>
      </c>
      <c r="C145" t="s">
        <v>153</v>
      </c>
      <c r="D145" t="s">
        <v>453</v>
      </c>
      <c r="E145" t="s">
        <v>26</v>
      </c>
      <c r="F145" t="s">
        <v>60</v>
      </c>
      <c r="G145" t="s">
        <v>349</v>
      </c>
      <c r="H145">
        <v>3</v>
      </c>
      <c r="I145">
        <v>250</v>
      </c>
      <c r="J145">
        <v>5</v>
      </c>
      <c r="K145">
        <v>37.5</v>
      </c>
      <c r="L145">
        <v>712.5</v>
      </c>
      <c r="M145">
        <v>178.86</v>
      </c>
      <c r="N145" t="s">
        <v>21</v>
      </c>
      <c r="O145" t="s">
        <v>35</v>
      </c>
      <c r="P145" t="str">
        <f t="shared" si="4"/>
        <v>Low Value</v>
      </c>
      <c r="Q145" t="str">
        <f t="shared" si="5"/>
        <v>Low</v>
      </c>
      <c r="R145" t="str" cm="1">
        <f t="array" ref="R145">_xlfn.IFS(L145&gt;50000,"Premium",L145&gt;20000,"High",L145&gt;5000,"Medium",TRUE,"Low")</f>
        <v>Low</v>
      </c>
    </row>
    <row r="146" spans="1:18" x14ac:dyDescent="0.3">
      <c r="A146" t="s">
        <v>469</v>
      </c>
      <c r="B146" s="1">
        <v>44936</v>
      </c>
      <c r="C146" t="s">
        <v>470</v>
      </c>
      <c r="D146" t="s">
        <v>106</v>
      </c>
      <c r="E146" t="s">
        <v>31</v>
      </c>
      <c r="F146" t="s">
        <v>32</v>
      </c>
      <c r="G146" t="s">
        <v>309</v>
      </c>
      <c r="H146">
        <v>2</v>
      </c>
      <c r="I146">
        <v>180</v>
      </c>
      <c r="J146">
        <v>5</v>
      </c>
      <c r="K146">
        <v>18</v>
      </c>
      <c r="L146">
        <v>342</v>
      </c>
      <c r="M146">
        <v>52.16</v>
      </c>
      <c r="N146" t="s">
        <v>27</v>
      </c>
      <c r="O146" t="s">
        <v>35</v>
      </c>
      <c r="P146" t="str">
        <f t="shared" si="4"/>
        <v>Low Value</v>
      </c>
      <c r="Q146" t="str">
        <f t="shared" si="5"/>
        <v>Low</v>
      </c>
      <c r="R146" t="str" cm="1">
        <f t="array" ref="R146">_xlfn.IFS(L146&gt;50000,"Premium",L146&gt;20000,"High",L146&gt;5000,"Medium",TRUE,"Low")</f>
        <v>Low</v>
      </c>
    </row>
    <row r="147" spans="1:18" x14ac:dyDescent="0.3">
      <c r="A147" t="s">
        <v>471</v>
      </c>
      <c r="B147" s="1">
        <v>44966</v>
      </c>
      <c r="C147" t="s">
        <v>46</v>
      </c>
      <c r="D147" t="s">
        <v>472</v>
      </c>
      <c r="E147" t="s">
        <v>48</v>
      </c>
      <c r="F147" t="s">
        <v>32</v>
      </c>
      <c r="G147" t="s">
        <v>33</v>
      </c>
      <c r="H147">
        <v>1</v>
      </c>
      <c r="I147">
        <v>400</v>
      </c>
      <c r="J147">
        <v>20</v>
      </c>
      <c r="K147">
        <v>80</v>
      </c>
      <c r="L147">
        <v>320</v>
      </c>
      <c r="M147">
        <v>90</v>
      </c>
      <c r="N147" t="s">
        <v>21</v>
      </c>
      <c r="O147" t="s">
        <v>35</v>
      </c>
      <c r="P147" t="str">
        <f t="shared" si="4"/>
        <v>Low Value</v>
      </c>
      <c r="Q147" t="str">
        <f t="shared" si="5"/>
        <v>Low</v>
      </c>
      <c r="R147" t="str" cm="1">
        <f t="array" ref="R147">_xlfn.IFS(L147&gt;50000,"Premium",L147&gt;20000,"High",L147&gt;5000,"Medium",TRUE,"Low")</f>
        <v>Low</v>
      </c>
    </row>
    <row r="148" spans="1:18" x14ac:dyDescent="0.3">
      <c r="A148" t="s">
        <v>473</v>
      </c>
      <c r="B148" s="1">
        <v>45232</v>
      </c>
      <c r="C148" t="s">
        <v>474</v>
      </c>
      <c r="D148" t="s">
        <v>475</v>
      </c>
      <c r="E148" t="s">
        <v>54</v>
      </c>
      <c r="F148" t="s">
        <v>39</v>
      </c>
      <c r="G148" t="s">
        <v>84</v>
      </c>
      <c r="H148">
        <v>2</v>
      </c>
      <c r="I148">
        <v>6500</v>
      </c>
      <c r="J148">
        <v>5</v>
      </c>
      <c r="K148">
        <v>650</v>
      </c>
      <c r="L148">
        <v>12350</v>
      </c>
      <c r="M148">
        <v>3697.63</v>
      </c>
      <c r="N148" t="s">
        <v>99</v>
      </c>
      <c r="O148" t="s">
        <v>22</v>
      </c>
      <c r="P148" t="str">
        <f t="shared" si="4"/>
        <v>Low Value</v>
      </c>
      <c r="Q148" t="str">
        <f t="shared" si="5"/>
        <v>Medium</v>
      </c>
      <c r="R148" t="str" cm="1">
        <f t="array" ref="R148">_xlfn.IFS(L148&gt;50000,"Premium",L148&gt;20000,"High",L148&gt;5000,"Medium",TRUE,"Low")</f>
        <v>Medium</v>
      </c>
    </row>
    <row r="149" spans="1:18" x14ac:dyDescent="0.3">
      <c r="A149" t="s">
        <v>476</v>
      </c>
      <c r="B149" s="1">
        <v>45113</v>
      </c>
      <c r="C149" t="s">
        <v>477</v>
      </c>
      <c r="D149" t="s">
        <v>478</v>
      </c>
      <c r="E149" t="s">
        <v>31</v>
      </c>
      <c r="F149" t="s">
        <v>60</v>
      </c>
      <c r="G149" t="s">
        <v>115</v>
      </c>
      <c r="H149">
        <v>2</v>
      </c>
      <c r="I149">
        <v>1800</v>
      </c>
      <c r="J149">
        <v>15</v>
      </c>
      <c r="K149">
        <v>540</v>
      </c>
      <c r="L149">
        <v>3060</v>
      </c>
      <c r="M149">
        <v>713.53</v>
      </c>
      <c r="N149" t="s">
        <v>34</v>
      </c>
      <c r="O149" t="s">
        <v>22</v>
      </c>
      <c r="P149" t="str">
        <f t="shared" si="4"/>
        <v>Low Value</v>
      </c>
      <c r="Q149" t="str">
        <f t="shared" si="5"/>
        <v>Low</v>
      </c>
      <c r="R149" t="str" cm="1">
        <f t="array" ref="R149">_xlfn.IFS(L149&gt;50000,"Premium",L149&gt;20000,"High",L149&gt;5000,"Medium",TRUE,"Low")</f>
        <v>Low</v>
      </c>
    </row>
    <row r="150" spans="1:18" x14ac:dyDescent="0.3">
      <c r="A150" t="s">
        <v>479</v>
      </c>
      <c r="B150" s="1">
        <v>45026</v>
      </c>
      <c r="C150" t="s">
        <v>463</v>
      </c>
      <c r="D150" t="s">
        <v>312</v>
      </c>
      <c r="E150" t="s">
        <v>26</v>
      </c>
      <c r="F150" t="s">
        <v>32</v>
      </c>
      <c r="G150" t="s">
        <v>55</v>
      </c>
      <c r="H150">
        <v>5</v>
      </c>
      <c r="I150">
        <v>250</v>
      </c>
      <c r="J150">
        <v>15</v>
      </c>
      <c r="K150">
        <v>187.5</v>
      </c>
      <c r="L150">
        <v>1062.5</v>
      </c>
      <c r="M150">
        <v>200.29</v>
      </c>
      <c r="N150" t="s">
        <v>27</v>
      </c>
      <c r="O150" t="s">
        <v>35</v>
      </c>
      <c r="P150" t="str">
        <f t="shared" si="4"/>
        <v>Low Value</v>
      </c>
      <c r="Q150" t="str">
        <f t="shared" si="5"/>
        <v>Low</v>
      </c>
      <c r="R150" t="str" cm="1">
        <f t="array" ref="R150">_xlfn.IFS(L150&gt;50000,"Premium",L150&gt;20000,"High",L150&gt;5000,"Medium",TRUE,"Low")</f>
        <v>Low</v>
      </c>
    </row>
    <row r="151" spans="1:18" x14ac:dyDescent="0.3">
      <c r="A151" t="s">
        <v>480</v>
      </c>
      <c r="B151" s="1">
        <v>45236</v>
      </c>
      <c r="C151" t="s">
        <v>117</v>
      </c>
      <c r="D151" t="s">
        <v>481</v>
      </c>
      <c r="E151" t="s">
        <v>18</v>
      </c>
      <c r="F151" t="s">
        <v>69</v>
      </c>
      <c r="G151" t="s">
        <v>111</v>
      </c>
      <c r="H151">
        <v>3</v>
      </c>
      <c r="I151">
        <v>3499</v>
      </c>
      <c r="J151">
        <v>0</v>
      </c>
      <c r="K151">
        <v>0</v>
      </c>
      <c r="L151">
        <v>10497</v>
      </c>
      <c r="M151">
        <v>2543.9899999999998</v>
      </c>
      <c r="N151" t="s">
        <v>21</v>
      </c>
      <c r="O151" t="s">
        <v>35</v>
      </c>
      <c r="P151" t="str">
        <f t="shared" si="4"/>
        <v>Low Value</v>
      </c>
      <c r="Q151" t="str">
        <f t="shared" si="5"/>
        <v>Medium</v>
      </c>
      <c r="R151" t="str" cm="1">
        <f t="array" ref="R151">_xlfn.IFS(L151&gt;50000,"Premium",L151&gt;20000,"High",L151&gt;5000,"Medium",TRUE,"Low")</f>
        <v>Medium</v>
      </c>
    </row>
    <row r="152" spans="1:18" x14ac:dyDescent="0.3">
      <c r="A152" t="s">
        <v>482</v>
      </c>
      <c r="B152" s="1">
        <v>45072</v>
      </c>
      <c r="C152" t="s">
        <v>427</v>
      </c>
      <c r="D152" t="s">
        <v>483</v>
      </c>
      <c r="E152" t="s">
        <v>18</v>
      </c>
      <c r="F152" t="s">
        <v>19</v>
      </c>
      <c r="G152" t="s">
        <v>107</v>
      </c>
      <c r="H152">
        <v>2</v>
      </c>
      <c r="I152">
        <v>4500</v>
      </c>
      <c r="J152">
        <v>10</v>
      </c>
      <c r="K152">
        <v>900</v>
      </c>
      <c r="L152">
        <v>8100</v>
      </c>
      <c r="M152">
        <v>1496.85</v>
      </c>
      <c r="N152" t="s">
        <v>27</v>
      </c>
      <c r="O152" t="s">
        <v>22</v>
      </c>
      <c r="P152" t="str">
        <f t="shared" si="4"/>
        <v>Low Value</v>
      </c>
      <c r="Q152" t="str">
        <f t="shared" si="5"/>
        <v>Medium</v>
      </c>
      <c r="R152" t="str" cm="1">
        <f t="array" ref="R152">_xlfn.IFS(L152&gt;50000,"Premium",L152&gt;20000,"High",L152&gt;5000,"Medium",TRUE,"Low")</f>
        <v>Medium</v>
      </c>
    </row>
    <row r="153" spans="1:18" x14ac:dyDescent="0.3">
      <c r="A153" t="s">
        <v>484</v>
      </c>
      <c r="B153" s="1">
        <v>45105</v>
      </c>
      <c r="C153" t="s">
        <v>485</v>
      </c>
      <c r="D153" t="s">
        <v>486</v>
      </c>
      <c r="E153" t="s">
        <v>48</v>
      </c>
      <c r="F153" t="s">
        <v>19</v>
      </c>
      <c r="G153" t="s">
        <v>229</v>
      </c>
      <c r="H153">
        <v>1</v>
      </c>
      <c r="I153">
        <v>8000</v>
      </c>
      <c r="J153">
        <v>15</v>
      </c>
      <c r="K153">
        <v>1200</v>
      </c>
      <c r="L153">
        <v>6800</v>
      </c>
      <c r="M153">
        <v>1364.09</v>
      </c>
      <c r="N153" t="s">
        <v>27</v>
      </c>
      <c r="O153" t="s">
        <v>35</v>
      </c>
      <c r="P153" t="str">
        <f t="shared" si="4"/>
        <v>Low Value</v>
      </c>
      <c r="Q153" t="str">
        <f t="shared" si="5"/>
        <v>Medium</v>
      </c>
      <c r="R153" t="str" cm="1">
        <f t="array" ref="R153">_xlfn.IFS(L153&gt;50000,"Premium",L153&gt;20000,"High",L153&gt;5000,"Medium",TRUE,"Low")</f>
        <v>Medium</v>
      </c>
    </row>
    <row r="154" spans="1:18" x14ac:dyDescent="0.3">
      <c r="A154" t="s">
        <v>487</v>
      </c>
      <c r="B154" s="1">
        <v>45090</v>
      </c>
      <c r="C154" t="s">
        <v>488</v>
      </c>
      <c r="D154" t="s">
        <v>489</v>
      </c>
      <c r="E154" t="s">
        <v>54</v>
      </c>
      <c r="F154" t="s">
        <v>19</v>
      </c>
      <c r="G154" t="s">
        <v>107</v>
      </c>
      <c r="H154">
        <v>3</v>
      </c>
      <c r="I154">
        <v>4500</v>
      </c>
      <c r="J154">
        <v>5</v>
      </c>
      <c r="K154">
        <v>675</v>
      </c>
      <c r="L154">
        <v>12825</v>
      </c>
      <c r="M154">
        <v>1170.6600000000001</v>
      </c>
      <c r="N154" t="s">
        <v>41</v>
      </c>
      <c r="O154" t="s">
        <v>95</v>
      </c>
      <c r="P154" t="str">
        <f t="shared" si="4"/>
        <v>Low Value</v>
      </c>
      <c r="Q154" t="str">
        <f t="shared" si="5"/>
        <v>Medium</v>
      </c>
      <c r="R154" t="str" cm="1">
        <f t="array" ref="R154">_xlfn.IFS(L154&gt;50000,"Premium",L154&gt;20000,"High",L154&gt;5000,"Medium",TRUE,"Low")</f>
        <v>Medium</v>
      </c>
    </row>
    <row r="155" spans="1:18" x14ac:dyDescent="0.3">
      <c r="A155" t="s">
        <v>490</v>
      </c>
      <c r="B155" s="1">
        <v>44929</v>
      </c>
      <c r="C155" t="s">
        <v>187</v>
      </c>
      <c r="D155" t="s">
        <v>491</v>
      </c>
      <c r="E155" t="s">
        <v>26</v>
      </c>
      <c r="F155" t="s">
        <v>19</v>
      </c>
      <c r="G155" t="s">
        <v>20</v>
      </c>
      <c r="H155">
        <v>3</v>
      </c>
      <c r="I155">
        <v>18000</v>
      </c>
      <c r="J155">
        <v>5</v>
      </c>
      <c r="K155">
        <v>2700</v>
      </c>
      <c r="L155">
        <v>51300</v>
      </c>
      <c r="M155">
        <v>15415.08</v>
      </c>
      <c r="N155" t="s">
        <v>99</v>
      </c>
      <c r="O155" t="s">
        <v>35</v>
      </c>
      <c r="P155" t="str">
        <f t="shared" si="4"/>
        <v>High Value</v>
      </c>
      <c r="Q155" t="str">
        <f t="shared" si="5"/>
        <v>Premium</v>
      </c>
      <c r="R155" t="str" cm="1">
        <f t="array" ref="R155">_xlfn.IFS(L155&gt;50000,"Premium",L155&gt;20000,"High",L155&gt;5000,"Medium",TRUE,"Low")</f>
        <v>Premium</v>
      </c>
    </row>
    <row r="156" spans="1:18" x14ac:dyDescent="0.3">
      <c r="A156" t="s">
        <v>492</v>
      </c>
      <c r="B156" s="1">
        <v>45048</v>
      </c>
      <c r="C156" t="s">
        <v>493</v>
      </c>
      <c r="D156" t="s">
        <v>494</v>
      </c>
      <c r="E156" t="s">
        <v>18</v>
      </c>
      <c r="F156" t="s">
        <v>32</v>
      </c>
      <c r="G156" t="s">
        <v>253</v>
      </c>
      <c r="H156">
        <v>1</v>
      </c>
      <c r="I156">
        <v>350</v>
      </c>
      <c r="J156">
        <v>5</v>
      </c>
      <c r="K156">
        <v>17.5</v>
      </c>
      <c r="L156">
        <v>332.5</v>
      </c>
      <c r="M156">
        <v>58.5</v>
      </c>
      <c r="N156" t="s">
        <v>99</v>
      </c>
      <c r="O156" t="s">
        <v>22</v>
      </c>
      <c r="P156" t="str">
        <f t="shared" si="4"/>
        <v>Low Value</v>
      </c>
      <c r="Q156" t="str">
        <f t="shared" si="5"/>
        <v>Low</v>
      </c>
      <c r="R156" t="str" cm="1">
        <f t="array" ref="R156">_xlfn.IFS(L156&gt;50000,"Premium",L156&gt;20000,"High",L156&gt;5000,"Medium",TRUE,"Low")</f>
        <v>Low</v>
      </c>
    </row>
    <row r="157" spans="1:18" x14ac:dyDescent="0.3">
      <c r="A157" t="s">
        <v>495</v>
      </c>
      <c r="B157" s="1">
        <v>45232</v>
      </c>
      <c r="C157" t="s">
        <v>354</v>
      </c>
      <c r="D157" t="s">
        <v>496</v>
      </c>
      <c r="E157" t="s">
        <v>59</v>
      </c>
      <c r="F157" t="s">
        <v>74</v>
      </c>
      <c r="G157" t="s">
        <v>137</v>
      </c>
      <c r="H157">
        <v>5</v>
      </c>
      <c r="I157">
        <v>2500</v>
      </c>
      <c r="J157">
        <v>20</v>
      </c>
      <c r="K157">
        <v>2500</v>
      </c>
      <c r="L157">
        <v>10000</v>
      </c>
      <c r="M157">
        <v>1225.81</v>
      </c>
      <c r="N157" t="s">
        <v>21</v>
      </c>
      <c r="O157" t="s">
        <v>35</v>
      </c>
      <c r="P157" t="str">
        <f t="shared" si="4"/>
        <v>Low Value</v>
      </c>
      <c r="Q157" t="str">
        <f t="shared" si="5"/>
        <v>Medium</v>
      </c>
      <c r="R157" t="str" cm="1">
        <f t="array" ref="R157">_xlfn.IFS(L157&gt;50000,"Premium",L157&gt;20000,"High",L157&gt;5000,"Medium",TRUE,"Low")</f>
        <v>Medium</v>
      </c>
    </row>
    <row r="158" spans="1:18" x14ac:dyDescent="0.3">
      <c r="A158" t="s">
        <v>497</v>
      </c>
      <c r="B158" s="1">
        <v>45050</v>
      </c>
      <c r="C158" t="s">
        <v>498</v>
      </c>
      <c r="D158" t="s">
        <v>435</v>
      </c>
      <c r="E158" t="s">
        <v>59</v>
      </c>
      <c r="F158" t="s">
        <v>74</v>
      </c>
      <c r="G158" t="s">
        <v>75</v>
      </c>
      <c r="H158">
        <v>2</v>
      </c>
      <c r="I158">
        <v>2200</v>
      </c>
      <c r="J158">
        <v>25</v>
      </c>
      <c r="K158">
        <v>1100</v>
      </c>
      <c r="L158">
        <v>3300</v>
      </c>
      <c r="M158">
        <v>826.53</v>
      </c>
      <c r="N158" t="s">
        <v>41</v>
      </c>
      <c r="O158" t="s">
        <v>22</v>
      </c>
      <c r="P158" t="str">
        <f t="shared" si="4"/>
        <v>Low Value</v>
      </c>
      <c r="Q158" t="str">
        <f t="shared" si="5"/>
        <v>Low</v>
      </c>
      <c r="R158" t="str" cm="1">
        <f t="array" ref="R158">_xlfn.IFS(L158&gt;50000,"Premium",L158&gt;20000,"High",L158&gt;5000,"Medium",TRUE,"Low")</f>
        <v>Low</v>
      </c>
    </row>
    <row r="159" spans="1:18" x14ac:dyDescent="0.3">
      <c r="A159" t="s">
        <v>499</v>
      </c>
      <c r="B159" s="1">
        <v>44949</v>
      </c>
      <c r="C159" t="s">
        <v>500</v>
      </c>
      <c r="D159" t="s">
        <v>501</v>
      </c>
      <c r="E159" t="s">
        <v>31</v>
      </c>
      <c r="F159" t="s">
        <v>60</v>
      </c>
      <c r="G159" t="s">
        <v>365</v>
      </c>
      <c r="H159">
        <v>3</v>
      </c>
      <c r="I159">
        <v>650</v>
      </c>
      <c r="J159">
        <v>10</v>
      </c>
      <c r="K159">
        <v>195</v>
      </c>
      <c r="L159">
        <v>1755</v>
      </c>
      <c r="M159">
        <v>481.21</v>
      </c>
      <c r="N159" t="s">
        <v>99</v>
      </c>
      <c r="O159" t="s">
        <v>95</v>
      </c>
      <c r="P159" t="str">
        <f t="shared" si="4"/>
        <v>Low Value</v>
      </c>
      <c r="Q159" t="str">
        <f t="shared" si="5"/>
        <v>Low</v>
      </c>
      <c r="R159" t="str" cm="1">
        <f t="array" ref="R159">_xlfn.IFS(L159&gt;50000,"Premium",L159&gt;20000,"High",L159&gt;5000,"Medium",TRUE,"Low")</f>
        <v>Low</v>
      </c>
    </row>
    <row r="160" spans="1:18" x14ac:dyDescent="0.3">
      <c r="A160" t="s">
        <v>502</v>
      </c>
      <c r="B160" s="1">
        <v>45097</v>
      </c>
      <c r="C160" t="s">
        <v>503</v>
      </c>
      <c r="D160" t="s">
        <v>504</v>
      </c>
      <c r="E160" t="s">
        <v>54</v>
      </c>
      <c r="F160" t="s">
        <v>69</v>
      </c>
      <c r="G160" t="s">
        <v>505</v>
      </c>
      <c r="H160">
        <v>3</v>
      </c>
      <c r="I160">
        <v>499</v>
      </c>
      <c r="J160">
        <v>20</v>
      </c>
      <c r="K160">
        <v>299.39999999999998</v>
      </c>
      <c r="L160">
        <v>1197.5999999999999</v>
      </c>
      <c r="M160">
        <v>181.51</v>
      </c>
      <c r="N160" t="s">
        <v>27</v>
      </c>
      <c r="O160" t="s">
        <v>35</v>
      </c>
      <c r="P160" t="str">
        <f t="shared" si="4"/>
        <v>Low Value</v>
      </c>
      <c r="Q160" t="str">
        <f t="shared" si="5"/>
        <v>Low</v>
      </c>
      <c r="R160" t="str" cm="1">
        <f t="array" ref="R160">_xlfn.IFS(L160&gt;50000,"Premium",L160&gt;20000,"High",L160&gt;5000,"Medium",TRUE,"Low")</f>
        <v>Low</v>
      </c>
    </row>
    <row r="161" spans="1:18" x14ac:dyDescent="0.3">
      <c r="A161" t="s">
        <v>506</v>
      </c>
      <c r="B161" s="1">
        <v>44959</v>
      </c>
      <c r="C161" t="s">
        <v>507</v>
      </c>
      <c r="D161" t="s">
        <v>508</v>
      </c>
      <c r="E161" t="s">
        <v>48</v>
      </c>
      <c r="F161" t="s">
        <v>60</v>
      </c>
      <c r="G161" t="s">
        <v>349</v>
      </c>
      <c r="H161">
        <v>4</v>
      </c>
      <c r="I161">
        <v>250</v>
      </c>
      <c r="J161">
        <v>0</v>
      </c>
      <c r="K161">
        <v>0</v>
      </c>
      <c r="L161">
        <v>1000</v>
      </c>
      <c r="M161">
        <v>138.03</v>
      </c>
      <c r="N161" t="s">
        <v>34</v>
      </c>
      <c r="O161" t="s">
        <v>95</v>
      </c>
      <c r="P161" t="str">
        <f t="shared" si="4"/>
        <v>Low Value</v>
      </c>
      <c r="Q161" t="str">
        <f t="shared" si="5"/>
        <v>Low</v>
      </c>
      <c r="R161" t="str" cm="1">
        <f t="array" ref="R161">_xlfn.IFS(L161&gt;50000,"Premium",L161&gt;20000,"High",L161&gt;5000,"Medium",TRUE,"Low")</f>
        <v>Low</v>
      </c>
    </row>
    <row r="162" spans="1:18" x14ac:dyDescent="0.3">
      <c r="A162" t="s">
        <v>509</v>
      </c>
      <c r="B162" s="1">
        <v>45130</v>
      </c>
      <c r="C162" t="s">
        <v>296</v>
      </c>
      <c r="D162" t="s">
        <v>510</v>
      </c>
      <c r="E162" t="s">
        <v>48</v>
      </c>
      <c r="F162" t="s">
        <v>49</v>
      </c>
      <c r="G162" t="s">
        <v>331</v>
      </c>
      <c r="H162">
        <v>4</v>
      </c>
      <c r="I162">
        <v>699</v>
      </c>
      <c r="J162">
        <v>10</v>
      </c>
      <c r="K162">
        <v>279.60000000000002</v>
      </c>
      <c r="L162">
        <v>2516.4</v>
      </c>
      <c r="M162">
        <v>153.47</v>
      </c>
      <c r="N162" t="s">
        <v>99</v>
      </c>
      <c r="O162" t="s">
        <v>35</v>
      </c>
      <c r="P162" t="str">
        <f t="shared" si="4"/>
        <v>Low Value</v>
      </c>
      <c r="Q162" t="str">
        <f t="shared" si="5"/>
        <v>Low</v>
      </c>
      <c r="R162" t="str" cm="1">
        <f t="array" ref="R162">_xlfn.IFS(L162&gt;50000,"Premium",L162&gt;20000,"High",L162&gt;5000,"Medium",TRUE,"Low")</f>
        <v>Low</v>
      </c>
    </row>
    <row r="163" spans="1:18" x14ac:dyDescent="0.3">
      <c r="A163" t="s">
        <v>511</v>
      </c>
      <c r="B163" s="1">
        <v>45066</v>
      </c>
      <c r="C163" t="s">
        <v>207</v>
      </c>
      <c r="D163" t="s">
        <v>512</v>
      </c>
      <c r="E163" t="s">
        <v>48</v>
      </c>
      <c r="F163" t="s">
        <v>19</v>
      </c>
      <c r="G163" t="s">
        <v>107</v>
      </c>
      <c r="H163">
        <v>3</v>
      </c>
      <c r="I163">
        <v>4500</v>
      </c>
      <c r="J163">
        <v>15</v>
      </c>
      <c r="K163">
        <v>2025</v>
      </c>
      <c r="L163">
        <v>11475</v>
      </c>
      <c r="M163">
        <v>3635.81</v>
      </c>
      <c r="N163" t="s">
        <v>27</v>
      </c>
      <c r="O163" t="s">
        <v>22</v>
      </c>
      <c r="P163" t="str">
        <f t="shared" si="4"/>
        <v>Low Value</v>
      </c>
      <c r="Q163" t="str">
        <f t="shared" si="5"/>
        <v>Medium</v>
      </c>
      <c r="R163" t="str" cm="1">
        <f t="array" ref="R163">_xlfn.IFS(L163&gt;50000,"Premium",L163&gt;20000,"High",L163&gt;5000,"Medium",TRUE,"Low")</f>
        <v>Medium</v>
      </c>
    </row>
    <row r="164" spans="1:18" x14ac:dyDescent="0.3">
      <c r="A164" t="s">
        <v>513</v>
      </c>
      <c r="B164" s="1">
        <v>45281</v>
      </c>
      <c r="C164" t="s">
        <v>514</v>
      </c>
      <c r="D164" t="s">
        <v>515</v>
      </c>
      <c r="E164" t="s">
        <v>26</v>
      </c>
      <c r="F164" t="s">
        <v>39</v>
      </c>
      <c r="G164" t="s">
        <v>126</v>
      </c>
      <c r="H164">
        <v>5</v>
      </c>
      <c r="I164">
        <v>4200</v>
      </c>
      <c r="J164">
        <v>10</v>
      </c>
      <c r="K164">
        <v>2100</v>
      </c>
      <c r="L164">
        <v>18900</v>
      </c>
      <c r="M164">
        <v>5487.51</v>
      </c>
      <c r="N164" t="s">
        <v>21</v>
      </c>
      <c r="O164" t="s">
        <v>35</v>
      </c>
      <c r="P164" t="str">
        <f t="shared" si="4"/>
        <v>Low Value</v>
      </c>
      <c r="Q164" t="str">
        <f t="shared" si="5"/>
        <v>Medium</v>
      </c>
      <c r="R164" t="str" cm="1">
        <f t="array" ref="R164">_xlfn.IFS(L164&gt;50000,"Premium",L164&gt;20000,"High",L164&gt;5000,"Medium",TRUE,"Low")</f>
        <v>Medium</v>
      </c>
    </row>
    <row r="165" spans="1:18" x14ac:dyDescent="0.3">
      <c r="A165" t="s">
        <v>516</v>
      </c>
      <c r="B165" s="1">
        <v>45206</v>
      </c>
      <c r="C165" t="s">
        <v>184</v>
      </c>
      <c r="D165" t="s">
        <v>140</v>
      </c>
      <c r="E165" t="s">
        <v>26</v>
      </c>
      <c r="F165" t="s">
        <v>32</v>
      </c>
      <c r="G165" t="s">
        <v>309</v>
      </c>
      <c r="H165">
        <v>1</v>
      </c>
      <c r="I165">
        <v>180</v>
      </c>
      <c r="J165">
        <v>0</v>
      </c>
      <c r="K165">
        <v>0</v>
      </c>
      <c r="L165">
        <v>180</v>
      </c>
      <c r="M165">
        <v>26.71</v>
      </c>
      <c r="N165" t="s">
        <v>27</v>
      </c>
      <c r="O165" t="s">
        <v>22</v>
      </c>
      <c r="P165" t="str">
        <f t="shared" si="4"/>
        <v>Low Value</v>
      </c>
      <c r="Q165" t="str">
        <f t="shared" si="5"/>
        <v>Low</v>
      </c>
      <c r="R165" t="str" cm="1">
        <f t="array" ref="R165">_xlfn.IFS(L165&gt;50000,"Premium",L165&gt;20000,"High",L165&gt;5000,"Medium",TRUE,"Low")</f>
        <v>Low</v>
      </c>
    </row>
    <row r="166" spans="1:18" x14ac:dyDescent="0.3">
      <c r="A166" t="s">
        <v>517</v>
      </c>
      <c r="B166" s="1">
        <v>45106</v>
      </c>
      <c r="C166" t="s">
        <v>518</v>
      </c>
      <c r="D166" t="s">
        <v>425</v>
      </c>
      <c r="E166" t="s">
        <v>26</v>
      </c>
      <c r="F166" t="s">
        <v>39</v>
      </c>
      <c r="G166" t="s">
        <v>40</v>
      </c>
      <c r="H166">
        <v>3</v>
      </c>
      <c r="I166">
        <v>8500</v>
      </c>
      <c r="J166">
        <v>20</v>
      </c>
      <c r="K166">
        <v>5100</v>
      </c>
      <c r="L166">
        <v>20400</v>
      </c>
      <c r="M166">
        <v>7128.68</v>
      </c>
      <c r="N166" t="s">
        <v>34</v>
      </c>
      <c r="O166" t="s">
        <v>95</v>
      </c>
      <c r="P166" t="str">
        <f t="shared" si="4"/>
        <v>High Value</v>
      </c>
      <c r="Q166" t="str">
        <f t="shared" si="5"/>
        <v>High</v>
      </c>
      <c r="R166" t="str" cm="1">
        <f t="array" ref="R166">_xlfn.IFS(L166&gt;50000,"Premium",L166&gt;20000,"High",L166&gt;5000,"Medium",TRUE,"Low")</f>
        <v>High</v>
      </c>
    </row>
    <row r="167" spans="1:18" x14ac:dyDescent="0.3">
      <c r="A167" t="s">
        <v>519</v>
      </c>
      <c r="B167" s="1">
        <v>45274</v>
      </c>
      <c r="C167" t="s">
        <v>520</v>
      </c>
      <c r="D167" t="s">
        <v>521</v>
      </c>
      <c r="E167" t="s">
        <v>18</v>
      </c>
      <c r="F167" t="s">
        <v>69</v>
      </c>
      <c r="G167" t="s">
        <v>505</v>
      </c>
      <c r="H167">
        <v>2</v>
      </c>
      <c r="I167">
        <v>499</v>
      </c>
      <c r="J167">
        <v>20</v>
      </c>
      <c r="K167">
        <v>199.6</v>
      </c>
      <c r="L167">
        <v>798.4</v>
      </c>
      <c r="M167">
        <v>202.34</v>
      </c>
      <c r="N167" t="s">
        <v>27</v>
      </c>
      <c r="O167" t="s">
        <v>35</v>
      </c>
      <c r="P167" t="str">
        <f t="shared" si="4"/>
        <v>Low Value</v>
      </c>
      <c r="Q167" t="str">
        <f t="shared" si="5"/>
        <v>Low</v>
      </c>
      <c r="R167" t="str" cm="1">
        <f t="array" ref="R167">_xlfn.IFS(L167&gt;50000,"Premium",L167&gt;20000,"High",L167&gt;5000,"Medium",TRUE,"Low")</f>
        <v>Low</v>
      </c>
    </row>
    <row r="168" spans="1:18" x14ac:dyDescent="0.3">
      <c r="A168" t="s">
        <v>522</v>
      </c>
      <c r="B168" s="1">
        <v>45112</v>
      </c>
      <c r="C168" t="s">
        <v>523</v>
      </c>
      <c r="D168" t="s">
        <v>445</v>
      </c>
      <c r="E168" t="s">
        <v>54</v>
      </c>
      <c r="F168" t="s">
        <v>39</v>
      </c>
      <c r="G168" t="s">
        <v>79</v>
      </c>
      <c r="H168">
        <v>1</v>
      </c>
      <c r="I168">
        <v>25000</v>
      </c>
      <c r="J168">
        <v>20</v>
      </c>
      <c r="K168">
        <v>5000</v>
      </c>
      <c r="L168">
        <v>20000</v>
      </c>
      <c r="M168">
        <v>1920.63</v>
      </c>
      <c r="N168" t="s">
        <v>99</v>
      </c>
      <c r="O168" t="s">
        <v>95</v>
      </c>
      <c r="P168" t="str">
        <f t="shared" si="4"/>
        <v>Low Value</v>
      </c>
      <c r="Q168" t="str">
        <f t="shared" si="5"/>
        <v>Medium</v>
      </c>
      <c r="R168" t="str" cm="1">
        <f t="array" ref="R168">_xlfn.IFS(L168&gt;50000,"Premium",L168&gt;20000,"High",L168&gt;5000,"Medium",TRUE,"Low")</f>
        <v>Medium</v>
      </c>
    </row>
    <row r="169" spans="1:18" x14ac:dyDescent="0.3">
      <c r="A169" t="s">
        <v>524</v>
      </c>
      <c r="B169" s="1">
        <v>44997</v>
      </c>
      <c r="C169" t="s">
        <v>525</v>
      </c>
      <c r="D169" t="s">
        <v>526</v>
      </c>
      <c r="E169" t="s">
        <v>83</v>
      </c>
      <c r="F169" t="s">
        <v>74</v>
      </c>
      <c r="G169" t="s">
        <v>341</v>
      </c>
      <c r="H169">
        <v>4</v>
      </c>
      <c r="I169">
        <v>700</v>
      </c>
      <c r="J169">
        <v>10</v>
      </c>
      <c r="K169">
        <v>280</v>
      </c>
      <c r="L169">
        <v>2520</v>
      </c>
      <c r="M169">
        <v>617.07000000000005</v>
      </c>
      <c r="N169" t="s">
        <v>41</v>
      </c>
      <c r="O169" t="s">
        <v>95</v>
      </c>
      <c r="P169" t="str">
        <f t="shared" si="4"/>
        <v>Low Value</v>
      </c>
      <c r="Q169" t="str">
        <f t="shared" si="5"/>
        <v>Low</v>
      </c>
      <c r="R169" t="str" cm="1">
        <f t="array" ref="R169">_xlfn.IFS(L169&gt;50000,"Premium",L169&gt;20000,"High",L169&gt;5000,"Medium",TRUE,"Low")</f>
        <v>Low</v>
      </c>
    </row>
    <row r="170" spans="1:18" x14ac:dyDescent="0.3">
      <c r="A170" t="s">
        <v>527</v>
      </c>
      <c r="B170" s="1">
        <v>45125</v>
      </c>
      <c r="C170" t="s">
        <v>528</v>
      </c>
      <c r="D170" t="s">
        <v>529</v>
      </c>
      <c r="E170" t="s">
        <v>54</v>
      </c>
      <c r="F170" t="s">
        <v>74</v>
      </c>
      <c r="G170" t="s">
        <v>137</v>
      </c>
      <c r="H170">
        <v>3</v>
      </c>
      <c r="I170">
        <v>2500</v>
      </c>
      <c r="J170">
        <v>10</v>
      </c>
      <c r="K170">
        <v>750</v>
      </c>
      <c r="L170">
        <v>6750</v>
      </c>
      <c r="M170">
        <v>1763.18</v>
      </c>
      <c r="N170" t="s">
        <v>27</v>
      </c>
      <c r="O170" t="s">
        <v>35</v>
      </c>
      <c r="P170" t="str">
        <f t="shared" si="4"/>
        <v>Low Value</v>
      </c>
      <c r="Q170" t="str">
        <f t="shared" si="5"/>
        <v>Medium</v>
      </c>
      <c r="R170" t="str" cm="1">
        <f t="array" ref="R170">_xlfn.IFS(L170&gt;50000,"Premium",L170&gt;20000,"High",L170&gt;5000,"Medium",TRUE,"Low")</f>
        <v>Medium</v>
      </c>
    </row>
    <row r="171" spans="1:18" x14ac:dyDescent="0.3">
      <c r="A171" t="s">
        <v>530</v>
      </c>
      <c r="B171" s="1">
        <v>44996</v>
      </c>
      <c r="C171" t="s">
        <v>531</v>
      </c>
      <c r="D171" t="s">
        <v>344</v>
      </c>
      <c r="E171" t="s">
        <v>48</v>
      </c>
      <c r="F171" t="s">
        <v>49</v>
      </c>
      <c r="G171" t="s">
        <v>50</v>
      </c>
      <c r="H171">
        <v>4</v>
      </c>
      <c r="I171">
        <v>499</v>
      </c>
      <c r="J171">
        <v>5</v>
      </c>
      <c r="K171">
        <v>99.8</v>
      </c>
      <c r="L171">
        <v>1896.2</v>
      </c>
      <c r="M171">
        <v>606.03</v>
      </c>
      <c r="N171" t="s">
        <v>99</v>
      </c>
      <c r="O171" t="s">
        <v>95</v>
      </c>
      <c r="P171" t="str">
        <f t="shared" si="4"/>
        <v>Low Value</v>
      </c>
      <c r="Q171" t="str">
        <f t="shared" si="5"/>
        <v>Low</v>
      </c>
      <c r="R171" t="str" cm="1">
        <f t="array" ref="R171">_xlfn.IFS(L171&gt;50000,"Premium",L171&gt;20000,"High",L171&gt;5000,"Medium",TRUE,"Low")</f>
        <v>Low</v>
      </c>
    </row>
    <row r="172" spans="1:18" x14ac:dyDescent="0.3">
      <c r="A172" t="s">
        <v>532</v>
      </c>
      <c r="B172" s="1">
        <v>45204</v>
      </c>
      <c r="C172" t="s">
        <v>533</v>
      </c>
      <c r="D172" t="s">
        <v>534</v>
      </c>
      <c r="E172" t="s">
        <v>31</v>
      </c>
      <c r="F172" t="s">
        <v>32</v>
      </c>
      <c r="G172" t="s">
        <v>309</v>
      </c>
      <c r="H172">
        <v>2</v>
      </c>
      <c r="I172">
        <v>180</v>
      </c>
      <c r="J172">
        <v>25</v>
      </c>
      <c r="K172">
        <v>90</v>
      </c>
      <c r="L172">
        <v>270</v>
      </c>
      <c r="M172">
        <v>70.97</v>
      </c>
      <c r="N172" t="s">
        <v>99</v>
      </c>
      <c r="O172" t="s">
        <v>35</v>
      </c>
      <c r="P172" t="str">
        <f t="shared" si="4"/>
        <v>Low Value</v>
      </c>
      <c r="Q172" t="str">
        <f t="shared" si="5"/>
        <v>Low</v>
      </c>
      <c r="R172" t="str" cm="1">
        <f t="array" ref="R172">_xlfn.IFS(L172&gt;50000,"Premium",L172&gt;20000,"High",L172&gt;5000,"Medium",TRUE,"Low")</f>
        <v>Low</v>
      </c>
    </row>
    <row r="173" spans="1:18" x14ac:dyDescent="0.3">
      <c r="A173" t="s">
        <v>535</v>
      </c>
      <c r="B173" s="1">
        <v>44998</v>
      </c>
      <c r="C173" t="s">
        <v>277</v>
      </c>
      <c r="D173" t="s">
        <v>98</v>
      </c>
      <c r="E173" t="s">
        <v>83</v>
      </c>
      <c r="F173" t="s">
        <v>69</v>
      </c>
      <c r="G173" t="s">
        <v>111</v>
      </c>
      <c r="H173">
        <v>4</v>
      </c>
      <c r="I173">
        <v>3499</v>
      </c>
      <c r="J173">
        <v>0</v>
      </c>
      <c r="K173">
        <v>0</v>
      </c>
      <c r="L173">
        <v>13996</v>
      </c>
      <c r="M173">
        <v>2215.13</v>
      </c>
      <c r="N173" t="s">
        <v>21</v>
      </c>
      <c r="O173" t="s">
        <v>35</v>
      </c>
      <c r="P173" t="str">
        <f t="shared" si="4"/>
        <v>Low Value</v>
      </c>
      <c r="Q173" t="str">
        <f t="shared" si="5"/>
        <v>Medium</v>
      </c>
      <c r="R173" t="str" cm="1">
        <f t="array" ref="R173">_xlfn.IFS(L173&gt;50000,"Premium",L173&gt;20000,"High",L173&gt;5000,"Medium",TRUE,"Low")</f>
        <v>Medium</v>
      </c>
    </row>
    <row r="174" spans="1:18" x14ac:dyDescent="0.3">
      <c r="A174" t="s">
        <v>536</v>
      </c>
      <c r="B174" s="1">
        <v>44960</v>
      </c>
      <c r="C174" t="s">
        <v>537</v>
      </c>
      <c r="D174" t="s">
        <v>90</v>
      </c>
      <c r="E174" t="s">
        <v>83</v>
      </c>
      <c r="F174" t="s">
        <v>32</v>
      </c>
      <c r="G174" t="s">
        <v>259</v>
      </c>
      <c r="H174">
        <v>4</v>
      </c>
      <c r="I174">
        <v>450</v>
      </c>
      <c r="J174">
        <v>20</v>
      </c>
      <c r="K174">
        <v>360</v>
      </c>
      <c r="L174">
        <v>1440</v>
      </c>
      <c r="M174">
        <v>249.46</v>
      </c>
      <c r="N174" t="s">
        <v>34</v>
      </c>
      <c r="O174" t="s">
        <v>35</v>
      </c>
      <c r="P174" t="str">
        <f t="shared" si="4"/>
        <v>Low Value</v>
      </c>
      <c r="Q174" t="str">
        <f t="shared" si="5"/>
        <v>Low</v>
      </c>
      <c r="R174" t="str" cm="1">
        <f t="array" ref="R174">_xlfn.IFS(L174&gt;50000,"Premium",L174&gt;20000,"High",L174&gt;5000,"Medium",TRUE,"Low")</f>
        <v>Low</v>
      </c>
    </row>
    <row r="175" spans="1:18" x14ac:dyDescent="0.3">
      <c r="A175" t="s">
        <v>538</v>
      </c>
      <c r="B175" s="1">
        <v>45157</v>
      </c>
      <c r="C175" t="s">
        <v>153</v>
      </c>
      <c r="D175" t="s">
        <v>539</v>
      </c>
      <c r="E175" t="s">
        <v>83</v>
      </c>
      <c r="F175" t="s">
        <v>39</v>
      </c>
      <c r="G175" t="s">
        <v>213</v>
      </c>
      <c r="H175">
        <v>5</v>
      </c>
      <c r="I175">
        <v>15000</v>
      </c>
      <c r="J175">
        <v>10</v>
      </c>
      <c r="K175">
        <v>7500</v>
      </c>
      <c r="L175">
        <v>67500</v>
      </c>
      <c r="M175">
        <v>5973.78</v>
      </c>
      <c r="N175" t="s">
        <v>27</v>
      </c>
      <c r="O175" t="s">
        <v>22</v>
      </c>
      <c r="P175" t="str">
        <f t="shared" si="4"/>
        <v>High Value</v>
      </c>
      <c r="Q175" t="str">
        <f t="shared" si="5"/>
        <v>Premium</v>
      </c>
      <c r="R175" t="str" cm="1">
        <f t="array" ref="R175">_xlfn.IFS(L175&gt;50000,"Premium",L175&gt;20000,"High",L175&gt;5000,"Medium",TRUE,"Low")</f>
        <v>Premium</v>
      </c>
    </row>
    <row r="176" spans="1:18" x14ac:dyDescent="0.3">
      <c r="A176" t="s">
        <v>540</v>
      </c>
      <c r="B176" s="1">
        <v>45184</v>
      </c>
      <c r="C176" t="s">
        <v>541</v>
      </c>
      <c r="D176" t="s">
        <v>542</v>
      </c>
      <c r="E176" t="s">
        <v>31</v>
      </c>
      <c r="F176" t="s">
        <v>49</v>
      </c>
      <c r="G176" t="s">
        <v>50</v>
      </c>
      <c r="H176">
        <v>1</v>
      </c>
      <c r="I176">
        <v>499</v>
      </c>
      <c r="J176">
        <v>20</v>
      </c>
      <c r="K176">
        <v>99.8</v>
      </c>
      <c r="L176">
        <v>399.2</v>
      </c>
      <c r="M176">
        <v>38.29</v>
      </c>
      <c r="N176" t="s">
        <v>34</v>
      </c>
      <c r="O176" t="s">
        <v>95</v>
      </c>
      <c r="P176" t="str">
        <f t="shared" si="4"/>
        <v>Low Value</v>
      </c>
      <c r="Q176" t="str">
        <f t="shared" si="5"/>
        <v>Low</v>
      </c>
      <c r="R176" t="str" cm="1">
        <f t="array" ref="R176">_xlfn.IFS(L176&gt;50000,"Premium",L176&gt;20000,"High",L176&gt;5000,"Medium",TRUE,"Low")</f>
        <v>Low</v>
      </c>
    </row>
    <row r="177" spans="1:18" x14ac:dyDescent="0.3">
      <c r="A177" t="s">
        <v>543</v>
      </c>
      <c r="B177" s="1">
        <v>45072</v>
      </c>
      <c r="C177" t="s">
        <v>544</v>
      </c>
      <c r="D177" t="s">
        <v>30</v>
      </c>
      <c r="E177" t="s">
        <v>78</v>
      </c>
      <c r="F177" t="s">
        <v>49</v>
      </c>
      <c r="G177" t="s">
        <v>50</v>
      </c>
      <c r="H177">
        <v>3</v>
      </c>
      <c r="I177">
        <v>499</v>
      </c>
      <c r="J177">
        <v>5</v>
      </c>
      <c r="K177">
        <v>74.849999999999994</v>
      </c>
      <c r="L177">
        <v>1422.15</v>
      </c>
      <c r="M177">
        <v>342.05</v>
      </c>
      <c r="N177" t="s">
        <v>21</v>
      </c>
      <c r="O177" t="s">
        <v>95</v>
      </c>
      <c r="P177" t="str">
        <f t="shared" si="4"/>
        <v>Low Value</v>
      </c>
      <c r="Q177" t="str">
        <f t="shared" si="5"/>
        <v>Low</v>
      </c>
      <c r="R177" t="str" cm="1">
        <f t="array" ref="R177">_xlfn.IFS(L177&gt;50000,"Premium",L177&gt;20000,"High",L177&gt;5000,"Medium",TRUE,"Low")</f>
        <v>Low</v>
      </c>
    </row>
    <row r="178" spans="1:18" x14ac:dyDescent="0.3">
      <c r="A178" t="s">
        <v>545</v>
      </c>
      <c r="B178" s="1">
        <v>44974</v>
      </c>
      <c r="C178" t="s">
        <v>72</v>
      </c>
      <c r="D178" t="s">
        <v>546</v>
      </c>
      <c r="E178" t="s">
        <v>48</v>
      </c>
      <c r="F178" t="s">
        <v>74</v>
      </c>
      <c r="G178" t="s">
        <v>192</v>
      </c>
      <c r="H178">
        <v>2</v>
      </c>
      <c r="I178">
        <v>12000</v>
      </c>
      <c r="J178">
        <v>20</v>
      </c>
      <c r="K178">
        <v>4800</v>
      </c>
      <c r="L178">
        <v>19200</v>
      </c>
      <c r="M178">
        <v>6383.66</v>
      </c>
      <c r="N178" t="s">
        <v>21</v>
      </c>
      <c r="O178" t="s">
        <v>35</v>
      </c>
      <c r="P178" t="str">
        <f t="shared" si="4"/>
        <v>Low Value</v>
      </c>
      <c r="Q178" t="str">
        <f t="shared" si="5"/>
        <v>Medium</v>
      </c>
      <c r="R178" t="str" cm="1">
        <f t="array" ref="R178">_xlfn.IFS(L178&gt;50000,"Premium",L178&gt;20000,"High",L178&gt;5000,"Medium",TRUE,"Low")</f>
        <v>Medium</v>
      </c>
    </row>
    <row r="179" spans="1:18" x14ac:dyDescent="0.3">
      <c r="A179" t="s">
        <v>547</v>
      </c>
      <c r="B179" s="1">
        <v>44941</v>
      </c>
      <c r="C179" t="s">
        <v>470</v>
      </c>
      <c r="D179" t="s">
        <v>548</v>
      </c>
      <c r="E179" t="s">
        <v>59</v>
      </c>
      <c r="F179" t="s">
        <v>19</v>
      </c>
      <c r="G179" t="s">
        <v>20</v>
      </c>
      <c r="H179">
        <v>5</v>
      </c>
      <c r="I179">
        <v>18000</v>
      </c>
      <c r="J179">
        <v>10</v>
      </c>
      <c r="K179">
        <v>9000</v>
      </c>
      <c r="L179">
        <v>81000</v>
      </c>
      <c r="M179">
        <v>19872.46</v>
      </c>
      <c r="N179" t="s">
        <v>41</v>
      </c>
      <c r="O179" t="s">
        <v>95</v>
      </c>
      <c r="P179" t="str">
        <f t="shared" si="4"/>
        <v>High Value</v>
      </c>
      <c r="Q179" t="str">
        <f t="shared" si="5"/>
        <v>Premium</v>
      </c>
      <c r="R179" t="str" cm="1">
        <f t="array" ref="R179">_xlfn.IFS(L179&gt;50000,"Premium",L179&gt;20000,"High",L179&gt;5000,"Medium",TRUE,"Low")</f>
        <v>Premium</v>
      </c>
    </row>
    <row r="180" spans="1:18" x14ac:dyDescent="0.3">
      <c r="A180" t="s">
        <v>549</v>
      </c>
      <c r="B180" s="1">
        <v>45075</v>
      </c>
      <c r="C180" t="s">
        <v>550</v>
      </c>
      <c r="D180" t="s">
        <v>466</v>
      </c>
      <c r="E180" t="s">
        <v>54</v>
      </c>
      <c r="F180" t="s">
        <v>60</v>
      </c>
      <c r="G180" t="s">
        <v>141</v>
      </c>
      <c r="H180">
        <v>4</v>
      </c>
      <c r="I180">
        <v>350</v>
      </c>
      <c r="J180">
        <v>5</v>
      </c>
      <c r="K180">
        <v>70</v>
      </c>
      <c r="L180">
        <v>1330</v>
      </c>
      <c r="M180">
        <v>387.57</v>
      </c>
      <c r="N180" t="s">
        <v>99</v>
      </c>
      <c r="O180" t="s">
        <v>35</v>
      </c>
      <c r="P180" t="str">
        <f t="shared" si="4"/>
        <v>Low Value</v>
      </c>
      <c r="Q180" t="str">
        <f t="shared" si="5"/>
        <v>Low</v>
      </c>
      <c r="R180" t="str" cm="1">
        <f t="array" ref="R180">_xlfn.IFS(L180&gt;50000,"Premium",L180&gt;20000,"High",L180&gt;5000,"Medium",TRUE,"Low")</f>
        <v>Low</v>
      </c>
    </row>
    <row r="181" spans="1:18" x14ac:dyDescent="0.3">
      <c r="A181" t="s">
        <v>551</v>
      </c>
      <c r="B181" s="1">
        <v>45007</v>
      </c>
      <c r="C181" t="s">
        <v>552</v>
      </c>
      <c r="D181" t="s">
        <v>553</v>
      </c>
      <c r="E181" t="s">
        <v>48</v>
      </c>
      <c r="F181" t="s">
        <v>39</v>
      </c>
      <c r="G181" t="s">
        <v>219</v>
      </c>
      <c r="H181">
        <v>4</v>
      </c>
      <c r="I181">
        <v>18000</v>
      </c>
      <c r="J181">
        <v>15</v>
      </c>
      <c r="K181">
        <v>10800</v>
      </c>
      <c r="L181">
        <v>61200</v>
      </c>
      <c r="M181">
        <v>6805.86</v>
      </c>
      <c r="N181" t="s">
        <v>34</v>
      </c>
      <c r="O181" t="s">
        <v>22</v>
      </c>
      <c r="P181" t="str">
        <f t="shared" si="4"/>
        <v>High Value</v>
      </c>
      <c r="Q181" t="str">
        <f t="shared" si="5"/>
        <v>Premium</v>
      </c>
      <c r="R181" t="str" cm="1">
        <f t="array" ref="R181">_xlfn.IFS(L181&gt;50000,"Premium",L181&gt;20000,"High",L181&gt;5000,"Medium",TRUE,"Low")</f>
        <v>Premium</v>
      </c>
    </row>
    <row r="182" spans="1:18" x14ac:dyDescent="0.3">
      <c r="A182" t="s">
        <v>554</v>
      </c>
      <c r="B182" s="1">
        <v>44993</v>
      </c>
      <c r="C182" t="s">
        <v>89</v>
      </c>
      <c r="D182" t="s">
        <v>555</v>
      </c>
      <c r="E182" t="s">
        <v>78</v>
      </c>
      <c r="F182" t="s">
        <v>49</v>
      </c>
      <c r="G182" t="s">
        <v>161</v>
      </c>
      <c r="H182">
        <v>5</v>
      </c>
      <c r="I182">
        <v>599</v>
      </c>
      <c r="J182">
        <v>20</v>
      </c>
      <c r="K182">
        <v>599</v>
      </c>
      <c r="L182">
        <v>2396</v>
      </c>
      <c r="M182">
        <v>196.13</v>
      </c>
      <c r="N182" t="s">
        <v>41</v>
      </c>
      <c r="O182" t="s">
        <v>35</v>
      </c>
      <c r="P182" t="str">
        <f t="shared" si="4"/>
        <v>Low Value</v>
      </c>
      <c r="Q182" t="str">
        <f t="shared" si="5"/>
        <v>Low</v>
      </c>
      <c r="R182" t="str" cm="1">
        <f t="array" ref="R182">_xlfn.IFS(L182&gt;50000,"Premium",L182&gt;20000,"High",L182&gt;5000,"Medium",TRUE,"Low")</f>
        <v>Low</v>
      </c>
    </row>
    <row r="183" spans="1:18" x14ac:dyDescent="0.3">
      <c r="A183" t="s">
        <v>556</v>
      </c>
      <c r="B183" s="1">
        <v>44999</v>
      </c>
      <c r="C183" t="s">
        <v>557</v>
      </c>
      <c r="D183" t="s">
        <v>53</v>
      </c>
      <c r="E183" t="s">
        <v>48</v>
      </c>
      <c r="F183" t="s">
        <v>19</v>
      </c>
      <c r="G183" t="s">
        <v>20</v>
      </c>
      <c r="H183">
        <v>3</v>
      </c>
      <c r="I183">
        <v>18000</v>
      </c>
      <c r="J183">
        <v>15</v>
      </c>
      <c r="K183">
        <v>8100</v>
      </c>
      <c r="L183">
        <v>45900</v>
      </c>
      <c r="M183">
        <v>14194.54</v>
      </c>
      <c r="N183" t="s">
        <v>21</v>
      </c>
      <c r="O183" t="s">
        <v>35</v>
      </c>
      <c r="P183" t="str">
        <f t="shared" si="4"/>
        <v>High Value</v>
      </c>
      <c r="Q183" t="str">
        <f t="shared" si="5"/>
        <v>High</v>
      </c>
      <c r="R183" t="str" cm="1">
        <f t="array" ref="R183">_xlfn.IFS(L183&gt;50000,"Premium",L183&gt;20000,"High",L183&gt;5000,"Medium",TRUE,"Low")</f>
        <v>High</v>
      </c>
    </row>
    <row r="184" spans="1:18" x14ac:dyDescent="0.3">
      <c r="A184" t="s">
        <v>558</v>
      </c>
      <c r="B184" s="1">
        <v>45024</v>
      </c>
      <c r="C184" t="s">
        <v>261</v>
      </c>
      <c r="D184" t="s">
        <v>278</v>
      </c>
      <c r="E184" t="s">
        <v>59</v>
      </c>
      <c r="F184" t="s">
        <v>49</v>
      </c>
      <c r="G184" t="s">
        <v>94</v>
      </c>
      <c r="H184">
        <v>4</v>
      </c>
      <c r="I184">
        <v>399</v>
      </c>
      <c r="J184">
        <v>20</v>
      </c>
      <c r="K184">
        <v>319.2</v>
      </c>
      <c r="L184">
        <v>1276.8</v>
      </c>
      <c r="M184">
        <v>242.65</v>
      </c>
      <c r="N184" t="s">
        <v>99</v>
      </c>
      <c r="O184" t="s">
        <v>22</v>
      </c>
      <c r="P184" t="str">
        <f t="shared" si="4"/>
        <v>Low Value</v>
      </c>
      <c r="Q184" t="str">
        <f t="shared" si="5"/>
        <v>Low</v>
      </c>
      <c r="R184" t="str" cm="1">
        <f t="array" ref="R184">_xlfn.IFS(L184&gt;50000,"Premium",L184&gt;20000,"High",L184&gt;5000,"Medium",TRUE,"Low")</f>
        <v>Low</v>
      </c>
    </row>
    <row r="185" spans="1:18" x14ac:dyDescent="0.3">
      <c r="A185" t="s">
        <v>559</v>
      </c>
      <c r="B185" s="1">
        <v>45185</v>
      </c>
      <c r="C185" t="s">
        <v>560</v>
      </c>
      <c r="D185" t="s">
        <v>278</v>
      </c>
      <c r="E185" t="s">
        <v>54</v>
      </c>
      <c r="F185" t="s">
        <v>39</v>
      </c>
      <c r="G185" t="s">
        <v>84</v>
      </c>
      <c r="H185">
        <v>2</v>
      </c>
      <c r="I185">
        <v>6500</v>
      </c>
      <c r="J185">
        <v>20</v>
      </c>
      <c r="K185">
        <v>2600</v>
      </c>
      <c r="L185">
        <v>10400</v>
      </c>
      <c r="M185">
        <v>1621.03</v>
      </c>
      <c r="N185" t="s">
        <v>34</v>
      </c>
      <c r="O185" t="s">
        <v>95</v>
      </c>
      <c r="P185" t="str">
        <f t="shared" si="4"/>
        <v>Low Value</v>
      </c>
      <c r="Q185" t="str">
        <f t="shared" si="5"/>
        <v>Medium</v>
      </c>
      <c r="R185" t="str" cm="1">
        <f t="array" ref="R185">_xlfn.IFS(L185&gt;50000,"Premium",L185&gt;20000,"High",L185&gt;5000,"Medium",TRUE,"Low")</f>
        <v>Medium</v>
      </c>
    </row>
    <row r="186" spans="1:18" x14ac:dyDescent="0.3">
      <c r="A186" t="s">
        <v>561</v>
      </c>
      <c r="B186" s="1">
        <v>44931</v>
      </c>
      <c r="C186" t="s">
        <v>514</v>
      </c>
      <c r="D186" t="s">
        <v>562</v>
      </c>
      <c r="E186" t="s">
        <v>48</v>
      </c>
      <c r="F186" t="s">
        <v>49</v>
      </c>
      <c r="G186" t="s">
        <v>50</v>
      </c>
      <c r="H186">
        <v>4</v>
      </c>
      <c r="I186">
        <v>499</v>
      </c>
      <c r="J186">
        <v>5</v>
      </c>
      <c r="K186">
        <v>99.8</v>
      </c>
      <c r="L186">
        <v>1896.2</v>
      </c>
      <c r="M186">
        <v>596.79999999999995</v>
      </c>
      <c r="N186" t="s">
        <v>99</v>
      </c>
      <c r="O186" t="s">
        <v>22</v>
      </c>
      <c r="P186" t="str">
        <f t="shared" si="4"/>
        <v>Low Value</v>
      </c>
      <c r="Q186" t="str">
        <f t="shared" si="5"/>
        <v>Low</v>
      </c>
      <c r="R186" t="str" cm="1">
        <f t="array" ref="R186">_xlfn.IFS(L186&gt;50000,"Premium",L186&gt;20000,"High",L186&gt;5000,"Medium",TRUE,"Low")</f>
        <v>Low</v>
      </c>
    </row>
    <row r="187" spans="1:18" x14ac:dyDescent="0.3">
      <c r="A187" t="s">
        <v>563</v>
      </c>
      <c r="B187" s="1">
        <v>44953</v>
      </c>
      <c r="C187" t="s">
        <v>197</v>
      </c>
      <c r="D187" t="s">
        <v>312</v>
      </c>
      <c r="E187" t="s">
        <v>54</v>
      </c>
      <c r="F187" t="s">
        <v>74</v>
      </c>
      <c r="G187" t="s">
        <v>144</v>
      </c>
      <c r="H187">
        <v>2</v>
      </c>
      <c r="I187">
        <v>1500</v>
      </c>
      <c r="J187">
        <v>10</v>
      </c>
      <c r="K187">
        <v>300</v>
      </c>
      <c r="L187">
        <v>2700</v>
      </c>
      <c r="M187">
        <v>583.11</v>
      </c>
      <c r="N187" t="s">
        <v>21</v>
      </c>
      <c r="O187" t="s">
        <v>35</v>
      </c>
      <c r="P187" t="str">
        <f t="shared" si="4"/>
        <v>Low Value</v>
      </c>
      <c r="Q187" t="str">
        <f t="shared" si="5"/>
        <v>Low</v>
      </c>
      <c r="R187" t="str" cm="1">
        <f t="array" ref="R187">_xlfn.IFS(L187&gt;50000,"Premium",L187&gt;20000,"High",L187&gt;5000,"Medium",TRUE,"Low")</f>
        <v>Low</v>
      </c>
    </row>
    <row r="188" spans="1:18" x14ac:dyDescent="0.3">
      <c r="A188" t="s">
        <v>564</v>
      </c>
      <c r="B188" s="1">
        <v>45246</v>
      </c>
      <c r="C188" t="s">
        <v>565</v>
      </c>
      <c r="D188" t="s">
        <v>566</v>
      </c>
      <c r="E188" t="s">
        <v>48</v>
      </c>
      <c r="F188" t="s">
        <v>60</v>
      </c>
      <c r="G188" t="s">
        <v>61</v>
      </c>
      <c r="H188">
        <v>1</v>
      </c>
      <c r="I188">
        <v>850</v>
      </c>
      <c r="J188">
        <v>5</v>
      </c>
      <c r="K188">
        <v>42.5</v>
      </c>
      <c r="L188">
        <v>807.5</v>
      </c>
      <c r="M188">
        <v>276.58999999999997</v>
      </c>
      <c r="N188" t="s">
        <v>27</v>
      </c>
      <c r="O188" t="s">
        <v>35</v>
      </c>
      <c r="P188" t="str">
        <f t="shared" si="4"/>
        <v>Low Value</v>
      </c>
      <c r="Q188" t="str">
        <f t="shared" si="5"/>
        <v>Low</v>
      </c>
      <c r="R188" t="str" cm="1">
        <f t="array" ref="R188">_xlfn.IFS(L188&gt;50000,"Premium",L188&gt;20000,"High",L188&gt;5000,"Medium",TRUE,"Low")</f>
        <v>Low</v>
      </c>
    </row>
    <row r="189" spans="1:18" x14ac:dyDescent="0.3">
      <c r="A189" t="s">
        <v>567</v>
      </c>
      <c r="B189" s="1">
        <v>45235</v>
      </c>
      <c r="C189" t="s">
        <v>568</v>
      </c>
      <c r="D189" t="s">
        <v>569</v>
      </c>
      <c r="E189" t="s">
        <v>54</v>
      </c>
      <c r="F189" t="s">
        <v>74</v>
      </c>
      <c r="G189" t="s">
        <v>75</v>
      </c>
      <c r="H189">
        <v>5</v>
      </c>
      <c r="I189">
        <v>2200</v>
      </c>
      <c r="J189">
        <v>0</v>
      </c>
      <c r="K189">
        <v>0</v>
      </c>
      <c r="L189">
        <v>11000</v>
      </c>
      <c r="M189">
        <v>699.5</v>
      </c>
      <c r="N189" t="s">
        <v>27</v>
      </c>
      <c r="O189" t="s">
        <v>95</v>
      </c>
      <c r="P189" t="str">
        <f t="shared" si="4"/>
        <v>Low Value</v>
      </c>
      <c r="Q189" t="str">
        <f t="shared" si="5"/>
        <v>Medium</v>
      </c>
      <c r="R189" t="str" cm="1">
        <f t="array" ref="R189">_xlfn.IFS(L189&gt;50000,"Premium",L189&gt;20000,"High",L189&gt;5000,"Medium",TRUE,"Low")</f>
        <v>Medium</v>
      </c>
    </row>
    <row r="190" spans="1:18" x14ac:dyDescent="0.3">
      <c r="A190" t="s">
        <v>570</v>
      </c>
      <c r="B190" s="1">
        <v>45190</v>
      </c>
      <c r="C190" t="s">
        <v>571</v>
      </c>
      <c r="D190" t="s">
        <v>572</v>
      </c>
      <c r="E190" t="s">
        <v>48</v>
      </c>
      <c r="F190" t="s">
        <v>69</v>
      </c>
      <c r="G190" t="s">
        <v>275</v>
      </c>
      <c r="H190">
        <v>5</v>
      </c>
      <c r="I190">
        <v>799</v>
      </c>
      <c r="J190">
        <v>10</v>
      </c>
      <c r="K190">
        <v>399.5</v>
      </c>
      <c r="L190">
        <v>3595.5</v>
      </c>
      <c r="M190">
        <v>355.06</v>
      </c>
      <c r="N190" t="s">
        <v>21</v>
      </c>
      <c r="O190" t="s">
        <v>95</v>
      </c>
      <c r="P190" t="str">
        <f t="shared" si="4"/>
        <v>Low Value</v>
      </c>
      <c r="Q190" t="str">
        <f t="shared" si="5"/>
        <v>Low</v>
      </c>
      <c r="R190" t="str" cm="1">
        <f t="array" ref="R190">_xlfn.IFS(L190&gt;50000,"Premium",L190&gt;20000,"High",L190&gt;5000,"Medium",TRUE,"Low")</f>
        <v>Low</v>
      </c>
    </row>
    <row r="191" spans="1:18" x14ac:dyDescent="0.3">
      <c r="A191" t="s">
        <v>573</v>
      </c>
      <c r="B191" s="1">
        <v>45199</v>
      </c>
      <c r="C191" t="s">
        <v>574</v>
      </c>
      <c r="D191" t="s">
        <v>566</v>
      </c>
      <c r="E191" t="s">
        <v>18</v>
      </c>
      <c r="F191" t="s">
        <v>39</v>
      </c>
      <c r="G191" t="s">
        <v>213</v>
      </c>
      <c r="H191">
        <v>5</v>
      </c>
      <c r="I191">
        <v>15000</v>
      </c>
      <c r="J191">
        <v>10</v>
      </c>
      <c r="K191">
        <v>7500</v>
      </c>
      <c r="L191">
        <v>67500</v>
      </c>
      <c r="M191">
        <v>12991.58</v>
      </c>
      <c r="N191" t="s">
        <v>41</v>
      </c>
      <c r="O191" t="s">
        <v>95</v>
      </c>
      <c r="P191" t="str">
        <f t="shared" si="4"/>
        <v>High Value</v>
      </c>
      <c r="Q191" t="str">
        <f t="shared" si="5"/>
        <v>Premium</v>
      </c>
      <c r="R191" t="str" cm="1">
        <f t="array" ref="R191">_xlfn.IFS(L191&gt;50000,"Premium",L191&gt;20000,"High",L191&gt;5000,"Medium",TRUE,"Low")</f>
        <v>Premium</v>
      </c>
    </row>
    <row r="192" spans="1:18" x14ac:dyDescent="0.3">
      <c r="A192" t="s">
        <v>575</v>
      </c>
      <c r="B192" s="1">
        <v>45084</v>
      </c>
      <c r="C192" t="s">
        <v>576</v>
      </c>
      <c r="D192" t="s">
        <v>577</v>
      </c>
      <c r="E192" t="s">
        <v>31</v>
      </c>
      <c r="F192" t="s">
        <v>49</v>
      </c>
      <c r="G192" t="s">
        <v>458</v>
      </c>
      <c r="H192">
        <v>1</v>
      </c>
      <c r="I192">
        <v>549</v>
      </c>
      <c r="J192">
        <v>20</v>
      </c>
      <c r="K192">
        <v>109.8</v>
      </c>
      <c r="L192">
        <v>439.2</v>
      </c>
      <c r="M192">
        <v>84.49</v>
      </c>
      <c r="N192" t="s">
        <v>99</v>
      </c>
      <c r="O192" t="s">
        <v>95</v>
      </c>
      <c r="P192" t="str">
        <f t="shared" si="4"/>
        <v>Low Value</v>
      </c>
      <c r="Q192" t="str">
        <f t="shared" si="5"/>
        <v>Low</v>
      </c>
      <c r="R192" t="str" cm="1">
        <f t="array" ref="R192">_xlfn.IFS(L192&gt;50000,"Premium",L192&gt;20000,"High",L192&gt;5000,"Medium",TRUE,"Low")</f>
        <v>Low</v>
      </c>
    </row>
    <row r="193" spans="1:18" x14ac:dyDescent="0.3">
      <c r="A193" t="s">
        <v>578</v>
      </c>
      <c r="B193" s="1">
        <v>45172</v>
      </c>
      <c r="C193" t="s">
        <v>579</v>
      </c>
      <c r="D193" t="s">
        <v>580</v>
      </c>
      <c r="E193" t="s">
        <v>18</v>
      </c>
      <c r="F193" t="s">
        <v>69</v>
      </c>
      <c r="G193" t="s">
        <v>243</v>
      </c>
      <c r="H193">
        <v>5</v>
      </c>
      <c r="I193">
        <v>1999</v>
      </c>
      <c r="J193">
        <v>15</v>
      </c>
      <c r="K193">
        <v>1499.25</v>
      </c>
      <c r="L193">
        <v>8495.75</v>
      </c>
      <c r="M193">
        <v>801.43</v>
      </c>
      <c r="N193" t="s">
        <v>27</v>
      </c>
      <c r="O193" t="s">
        <v>35</v>
      </c>
      <c r="P193" t="str">
        <f t="shared" si="4"/>
        <v>Low Value</v>
      </c>
      <c r="Q193" t="str">
        <f t="shared" si="5"/>
        <v>Medium</v>
      </c>
      <c r="R193" t="str" cm="1">
        <f t="array" ref="R193">_xlfn.IFS(L193&gt;50000,"Premium",L193&gt;20000,"High",L193&gt;5000,"Medium",TRUE,"Low")</f>
        <v>Medium</v>
      </c>
    </row>
    <row r="194" spans="1:18" x14ac:dyDescent="0.3">
      <c r="A194" t="s">
        <v>581</v>
      </c>
      <c r="B194" s="1">
        <v>45152</v>
      </c>
      <c r="C194" t="s">
        <v>410</v>
      </c>
      <c r="D194" t="s">
        <v>582</v>
      </c>
      <c r="E194" t="s">
        <v>54</v>
      </c>
      <c r="F194" t="s">
        <v>32</v>
      </c>
      <c r="G194" t="s">
        <v>259</v>
      </c>
      <c r="H194">
        <v>2</v>
      </c>
      <c r="I194">
        <v>450</v>
      </c>
      <c r="J194">
        <v>15</v>
      </c>
      <c r="K194">
        <v>135</v>
      </c>
      <c r="L194">
        <v>765</v>
      </c>
      <c r="M194">
        <v>196.72</v>
      </c>
      <c r="N194" t="s">
        <v>99</v>
      </c>
      <c r="O194" t="s">
        <v>35</v>
      </c>
      <c r="P194" t="str">
        <f t="shared" si="4"/>
        <v>Low Value</v>
      </c>
      <c r="Q194" t="str">
        <f t="shared" si="5"/>
        <v>Low</v>
      </c>
      <c r="R194" t="str" cm="1">
        <f t="array" ref="R194">_xlfn.IFS(L194&gt;50000,"Premium",L194&gt;20000,"High",L194&gt;5000,"Medium",TRUE,"Low")</f>
        <v>Low</v>
      </c>
    </row>
    <row r="195" spans="1:18" x14ac:dyDescent="0.3">
      <c r="A195" t="s">
        <v>583</v>
      </c>
      <c r="B195" s="1">
        <v>45192</v>
      </c>
      <c r="C195" t="s">
        <v>584</v>
      </c>
      <c r="D195" t="s">
        <v>422</v>
      </c>
      <c r="E195" t="s">
        <v>54</v>
      </c>
      <c r="F195" t="s">
        <v>69</v>
      </c>
      <c r="G195" t="s">
        <v>243</v>
      </c>
      <c r="H195">
        <v>3</v>
      </c>
      <c r="I195">
        <v>1999</v>
      </c>
      <c r="J195">
        <v>25</v>
      </c>
      <c r="K195">
        <v>1499.25</v>
      </c>
      <c r="L195">
        <v>4497.75</v>
      </c>
      <c r="M195">
        <v>870.37</v>
      </c>
      <c r="N195" t="s">
        <v>21</v>
      </c>
      <c r="O195" t="s">
        <v>35</v>
      </c>
      <c r="P195" t="str">
        <f t="shared" ref="P195:P258" si="6">IF(L195&gt;20000,"High Value","Low Value")</f>
        <v>Low Value</v>
      </c>
      <c r="Q195" t="str">
        <f t="shared" ref="Q195:Q258" si="7">IF(L195&gt;50000,"Premium",IF(L195&gt;20000,"High",IF(L195&gt;5000,"Medium","Low")))</f>
        <v>Low</v>
      </c>
      <c r="R195" t="str" cm="1">
        <f t="array" ref="R195">_xlfn.IFS(L195&gt;50000,"Premium",L195&gt;20000,"High",L195&gt;5000,"Medium",TRUE,"Low")</f>
        <v>Low</v>
      </c>
    </row>
    <row r="196" spans="1:18" x14ac:dyDescent="0.3">
      <c r="A196" t="s">
        <v>585</v>
      </c>
      <c r="B196" s="1">
        <v>45206</v>
      </c>
      <c r="C196" t="s">
        <v>124</v>
      </c>
      <c r="D196" t="s">
        <v>586</v>
      </c>
      <c r="E196" t="s">
        <v>78</v>
      </c>
      <c r="F196" t="s">
        <v>32</v>
      </c>
      <c r="G196" t="s">
        <v>55</v>
      </c>
      <c r="H196">
        <v>3</v>
      </c>
      <c r="I196">
        <v>250</v>
      </c>
      <c r="J196">
        <v>20</v>
      </c>
      <c r="K196">
        <v>150</v>
      </c>
      <c r="L196">
        <v>600</v>
      </c>
      <c r="M196">
        <v>117.15</v>
      </c>
      <c r="N196" t="s">
        <v>27</v>
      </c>
      <c r="O196" t="s">
        <v>35</v>
      </c>
      <c r="P196" t="str">
        <f t="shared" si="6"/>
        <v>Low Value</v>
      </c>
      <c r="Q196" t="str">
        <f t="shared" si="7"/>
        <v>Low</v>
      </c>
      <c r="R196" t="str" cm="1">
        <f t="array" ref="R196">_xlfn.IFS(L196&gt;50000,"Premium",L196&gt;20000,"High",L196&gt;5000,"Medium",TRUE,"Low")</f>
        <v>Low</v>
      </c>
    </row>
    <row r="197" spans="1:18" x14ac:dyDescent="0.3">
      <c r="A197" t="s">
        <v>587</v>
      </c>
      <c r="B197" s="1">
        <v>45074</v>
      </c>
      <c r="C197" t="s">
        <v>588</v>
      </c>
      <c r="D197" t="s">
        <v>589</v>
      </c>
      <c r="E197" t="s">
        <v>18</v>
      </c>
      <c r="F197" t="s">
        <v>60</v>
      </c>
      <c r="G197" t="s">
        <v>165</v>
      </c>
      <c r="H197">
        <v>4</v>
      </c>
      <c r="I197">
        <v>300</v>
      </c>
      <c r="J197">
        <v>10</v>
      </c>
      <c r="K197">
        <v>120</v>
      </c>
      <c r="L197">
        <v>1080</v>
      </c>
      <c r="M197">
        <v>209.46</v>
      </c>
      <c r="N197" t="s">
        <v>21</v>
      </c>
      <c r="O197" t="s">
        <v>95</v>
      </c>
      <c r="P197" t="str">
        <f t="shared" si="6"/>
        <v>Low Value</v>
      </c>
      <c r="Q197" t="str">
        <f t="shared" si="7"/>
        <v>Low</v>
      </c>
      <c r="R197" t="str" cm="1">
        <f t="array" ref="R197">_xlfn.IFS(L197&gt;50000,"Premium",L197&gt;20000,"High",L197&gt;5000,"Medium",TRUE,"Low")</f>
        <v>Low</v>
      </c>
    </row>
    <row r="198" spans="1:18" x14ac:dyDescent="0.3">
      <c r="A198" t="s">
        <v>590</v>
      </c>
      <c r="B198" s="1">
        <v>45121</v>
      </c>
      <c r="C198" t="s">
        <v>591</v>
      </c>
      <c r="D198" t="s">
        <v>501</v>
      </c>
      <c r="E198" t="s">
        <v>54</v>
      </c>
      <c r="F198" t="s">
        <v>39</v>
      </c>
      <c r="G198" t="s">
        <v>209</v>
      </c>
      <c r="H198">
        <v>3</v>
      </c>
      <c r="I198">
        <v>3200</v>
      </c>
      <c r="J198">
        <v>5</v>
      </c>
      <c r="K198">
        <v>480</v>
      </c>
      <c r="L198">
        <v>9120</v>
      </c>
      <c r="M198">
        <v>1250.68</v>
      </c>
      <c r="N198" t="s">
        <v>34</v>
      </c>
      <c r="O198" t="s">
        <v>22</v>
      </c>
      <c r="P198" t="str">
        <f t="shared" si="6"/>
        <v>Low Value</v>
      </c>
      <c r="Q198" t="str">
        <f t="shared" si="7"/>
        <v>Medium</v>
      </c>
      <c r="R198" t="str" cm="1">
        <f t="array" ref="R198">_xlfn.IFS(L198&gt;50000,"Premium",L198&gt;20000,"High",L198&gt;5000,"Medium",TRUE,"Low")</f>
        <v>Medium</v>
      </c>
    </row>
    <row r="199" spans="1:18" x14ac:dyDescent="0.3">
      <c r="A199" t="s">
        <v>592</v>
      </c>
      <c r="B199" s="1">
        <v>45036</v>
      </c>
      <c r="C199" t="s">
        <v>593</v>
      </c>
      <c r="D199" t="s">
        <v>30</v>
      </c>
      <c r="E199" t="s">
        <v>18</v>
      </c>
      <c r="F199" t="s">
        <v>69</v>
      </c>
      <c r="G199" t="s">
        <v>111</v>
      </c>
      <c r="H199">
        <v>5</v>
      </c>
      <c r="I199">
        <v>3499</v>
      </c>
      <c r="J199">
        <v>10</v>
      </c>
      <c r="K199">
        <v>1749.5</v>
      </c>
      <c r="L199">
        <v>15745.5</v>
      </c>
      <c r="M199">
        <v>5194.55</v>
      </c>
      <c r="N199" t="s">
        <v>21</v>
      </c>
      <c r="O199" t="s">
        <v>95</v>
      </c>
      <c r="P199" t="str">
        <f t="shared" si="6"/>
        <v>Low Value</v>
      </c>
      <c r="Q199" t="str">
        <f t="shared" si="7"/>
        <v>Medium</v>
      </c>
      <c r="R199" t="str" cm="1">
        <f t="array" ref="R199">_xlfn.IFS(L199&gt;50000,"Premium",L199&gt;20000,"High",L199&gt;5000,"Medium",TRUE,"Low")</f>
        <v>Medium</v>
      </c>
    </row>
    <row r="200" spans="1:18" x14ac:dyDescent="0.3">
      <c r="A200" t="s">
        <v>594</v>
      </c>
      <c r="B200" s="1">
        <v>45049</v>
      </c>
      <c r="C200" t="s">
        <v>595</v>
      </c>
      <c r="D200" t="s">
        <v>596</v>
      </c>
      <c r="E200" t="s">
        <v>48</v>
      </c>
      <c r="F200" t="s">
        <v>69</v>
      </c>
      <c r="G200" t="s">
        <v>505</v>
      </c>
      <c r="H200">
        <v>5</v>
      </c>
      <c r="I200">
        <v>499</v>
      </c>
      <c r="J200">
        <v>5</v>
      </c>
      <c r="K200">
        <v>124.75</v>
      </c>
      <c r="L200">
        <v>2370.25</v>
      </c>
      <c r="M200">
        <v>572.14</v>
      </c>
      <c r="N200" t="s">
        <v>41</v>
      </c>
      <c r="O200" t="s">
        <v>35</v>
      </c>
      <c r="P200" t="str">
        <f t="shared" si="6"/>
        <v>Low Value</v>
      </c>
      <c r="Q200" t="str">
        <f t="shared" si="7"/>
        <v>Low</v>
      </c>
      <c r="R200" t="str" cm="1">
        <f t="array" ref="R200">_xlfn.IFS(L200&gt;50000,"Premium",L200&gt;20000,"High",L200&gt;5000,"Medium",TRUE,"Low")</f>
        <v>Low</v>
      </c>
    </row>
    <row r="201" spans="1:18" x14ac:dyDescent="0.3">
      <c r="A201" t="s">
        <v>597</v>
      </c>
      <c r="B201" s="1">
        <v>45275</v>
      </c>
      <c r="C201" t="s">
        <v>356</v>
      </c>
      <c r="D201" t="s">
        <v>305</v>
      </c>
      <c r="E201" t="s">
        <v>54</v>
      </c>
      <c r="F201" t="s">
        <v>49</v>
      </c>
      <c r="G201" t="s">
        <v>94</v>
      </c>
      <c r="H201">
        <v>1</v>
      </c>
      <c r="I201">
        <v>399</v>
      </c>
      <c r="J201">
        <v>20</v>
      </c>
      <c r="K201">
        <v>79.8</v>
      </c>
      <c r="L201">
        <v>319.2</v>
      </c>
      <c r="M201">
        <v>109.6</v>
      </c>
      <c r="N201" t="s">
        <v>27</v>
      </c>
      <c r="O201" t="s">
        <v>35</v>
      </c>
      <c r="P201" t="str">
        <f t="shared" si="6"/>
        <v>Low Value</v>
      </c>
      <c r="Q201" t="str">
        <f t="shared" si="7"/>
        <v>Low</v>
      </c>
      <c r="R201" t="str" cm="1">
        <f t="array" ref="R201">_xlfn.IFS(L201&gt;50000,"Premium",L201&gt;20000,"High",L201&gt;5000,"Medium",TRUE,"Low")</f>
        <v>Low</v>
      </c>
    </row>
    <row r="202" spans="1:18" x14ac:dyDescent="0.3">
      <c r="A202" t="s">
        <v>598</v>
      </c>
      <c r="B202" s="1">
        <v>45091</v>
      </c>
      <c r="C202" t="s">
        <v>269</v>
      </c>
      <c r="D202" t="s">
        <v>599</v>
      </c>
      <c r="E202" t="s">
        <v>83</v>
      </c>
      <c r="F202" t="s">
        <v>32</v>
      </c>
      <c r="G202" t="s">
        <v>55</v>
      </c>
      <c r="H202">
        <v>1</v>
      </c>
      <c r="I202">
        <v>250</v>
      </c>
      <c r="J202">
        <v>0</v>
      </c>
      <c r="K202">
        <v>0</v>
      </c>
      <c r="L202">
        <v>250</v>
      </c>
      <c r="M202">
        <v>61.42</v>
      </c>
      <c r="N202" t="s">
        <v>41</v>
      </c>
      <c r="O202" t="s">
        <v>35</v>
      </c>
      <c r="P202" t="str">
        <f t="shared" si="6"/>
        <v>Low Value</v>
      </c>
      <c r="Q202" t="str">
        <f t="shared" si="7"/>
        <v>Low</v>
      </c>
      <c r="R202" t="str" cm="1">
        <f t="array" ref="R202">_xlfn.IFS(L202&gt;50000,"Premium",L202&gt;20000,"High",L202&gt;5000,"Medium",TRUE,"Low")</f>
        <v>Low</v>
      </c>
    </row>
    <row r="203" spans="1:18" x14ac:dyDescent="0.3">
      <c r="A203" t="s">
        <v>600</v>
      </c>
      <c r="B203" s="1">
        <v>44945</v>
      </c>
      <c r="C203" t="s">
        <v>601</v>
      </c>
      <c r="D203" t="s">
        <v>602</v>
      </c>
      <c r="E203" t="s">
        <v>59</v>
      </c>
      <c r="F203" t="s">
        <v>49</v>
      </c>
      <c r="G203" t="s">
        <v>603</v>
      </c>
      <c r="H203">
        <v>4</v>
      </c>
      <c r="I203">
        <v>449</v>
      </c>
      <c r="J203">
        <v>5</v>
      </c>
      <c r="K203">
        <v>89.8</v>
      </c>
      <c r="L203">
        <v>1706.2</v>
      </c>
      <c r="M203">
        <v>564.72</v>
      </c>
      <c r="N203" t="s">
        <v>34</v>
      </c>
      <c r="O203" t="s">
        <v>95</v>
      </c>
      <c r="P203" t="str">
        <f t="shared" si="6"/>
        <v>Low Value</v>
      </c>
      <c r="Q203" t="str">
        <f t="shared" si="7"/>
        <v>Low</v>
      </c>
      <c r="R203" t="str" cm="1">
        <f t="array" ref="R203">_xlfn.IFS(L203&gt;50000,"Premium",L203&gt;20000,"High",L203&gt;5000,"Medium",TRUE,"Low")</f>
        <v>Low</v>
      </c>
    </row>
    <row r="204" spans="1:18" x14ac:dyDescent="0.3">
      <c r="A204" t="s">
        <v>604</v>
      </c>
      <c r="B204" s="1">
        <v>45235</v>
      </c>
      <c r="C204" t="s">
        <v>605</v>
      </c>
      <c r="D204" t="s">
        <v>606</v>
      </c>
      <c r="E204" t="s">
        <v>83</v>
      </c>
      <c r="F204" t="s">
        <v>19</v>
      </c>
      <c r="G204" t="s">
        <v>103</v>
      </c>
      <c r="H204">
        <v>3</v>
      </c>
      <c r="I204">
        <v>3500</v>
      </c>
      <c r="J204">
        <v>15</v>
      </c>
      <c r="K204">
        <v>1575</v>
      </c>
      <c r="L204">
        <v>8925</v>
      </c>
      <c r="M204">
        <v>3094.56</v>
      </c>
      <c r="N204" t="s">
        <v>21</v>
      </c>
      <c r="O204" t="s">
        <v>22</v>
      </c>
      <c r="P204" t="str">
        <f t="shared" si="6"/>
        <v>Low Value</v>
      </c>
      <c r="Q204" t="str">
        <f t="shared" si="7"/>
        <v>Medium</v>
      </c>
      <c r="R204" t="str" cm="1">
        <f t="array" ref="R204">_xlfn.IFS(L204&gt;50000,"Premium",L204&gt;20000,"High",L204&gt;5000,"Medium",TRUE,"Low")</f>
        <v>Medium</v>
      </c>
    </row>
    <row r="205" spans="1:18" x14ac:dyDescent="0.3">
      <c r="A205" t="s">
        <v>607</v>
      </c>
      <c r="B205" s="1">
        <v>45066</v>
      </c>
      <c r="C205" t="s">
        <v>608</v>
      </c>
      <c r="D205" t="s">
        <v>370</v>
      </c>
      <c r="E205" t="s">
        <v>59</v>
      </c>
      <c r="F205" t="s">
        <v>69</v>
      </c>
      <c r="G205" t="s">
        <v>111</v>
      </c>
      <c r="H205">
        <v>1</v>
      </c>
      <c r="I205">
        <v>3499</v>
      </c>
      <c r="J205">
        <v>10</v>
      </c>
      <c r="K205">
        <v>349.9</v>
      </c>
      <c r="L205">
        <v>3149.1</v>
      </c>
      <c r="M205">
        <v>310.97000000000003</v>
      </c>
      <c r="N205" t="s">
        <v>34</v>
      </c>
      <c r="O205" t="s">
        <v>35</v>
      </c>
      <c r="P205" t="str">
        <f t="shared" si="6"/>
        <v>Low Value</v>
      </c>
      <c r="Q205" t="str">
        <f t="shared" si="7"/>
        <v>Low</v>
      </c>
      <c r="R205" t="str" cm="1">
        <f t="array" ref="R205">_xlfn.IFS(L205&gt;50000,"Premium",L205&gt;20000,"High",L205&gt;5000,"Medium",TRUE,"Low")</f>
        <v>Low</v>
      </c>
    </row>
    <row r="206" spans="1:18" x14ac:dyDescent="0.3">
      <c r="A206" t="s">
        <v>609</v>
      </c>
      <c r="B206" s="1">
        <v>45217</v>
      </c>
      <c r="C206" t="s">
        <v>610</v>
      </c>
      <c r="D206" t="s">
        <v>464</v>
      </c>
      <c r="E206" t="s">
        <v>48</v>
      </c>
      <c r="F206" t="s">
        <v>60</v>
      </c>
      <c r="G206" t="s">
        <v>349</v>
      </c>
      <c r="H206">
        <v>2</v>
      </c>
      <c r="I206">
        <v>250</v>
      </c>
      <c r="J206">
        <v>5</v>
      </c>
      <c r="K206">
        <v>25</v>
      </c>
      <c r="L206">
        <v>475</v>
      </c>
      <c r="M206">
        <v>110.81</v>
      </c>
      <c r="N206" t="s">
        <v>99</v>
      </c>
      <c r="O206" t="s">
        <v>22</v>
      </c>
      <c r="P206" t="str">
        <f t="shared" si="6"/>
        <v>Low Value</v>
      </c>
      <c r="Q206" t="str">
        <f t="shared" si="7"/>
        <v>Low</v>
      </c>
      <c r="R206" t="str" cm="1">
        <f t="array" ref="R206">_xlfn.IFS(L206&gt;50000,"Premium",L206&gt;20000,"High",L206&gt;5000,"Medium",TRUE,"Low")</f>
        <v>Low</v>
      </c>
    </row>
    <row r="207" spans="1:18" x14ac:dyDescent="0.3">
      <c r="A207" t="s">
        <v>611</v>
      </c>
      <c r="B207" s="1">
        <v>45269</v>
      </c>
      <c r="C207" t="s">
        <v>525</v>
      </c>
      <c r="D207" t="s">
        <v>612</v>
      </c>
      <c r="E207" t="s">
        <v>26</v>
      </c>
      <c r="F207" t="s">
        <v>19</v>
      </c>
      <c r="G207" t="s">
        <v>65</v>
      </c>
      <c r="H207">
        <v>2</v>
      </c>
      <c r="I207">
        <v>55000</v>
      </c>
      <c r="J207">
        <v>15</v>
      </c>
      <c r="K207">
        <v>16500</v>
      </c>
      <c r="L207">
        <v>93500</v>
      </c>
      <c r="M207">
        <v>13752.03</v>
      </c>
      <c r="N207" t="s">
        <v>27</v>
      </c>
      <c r="O207" t="s">
        <v>22</v>
      </c>
      <c r="P207" t="str">
        <f t="shared" si="6"/>
        <v>High Value</v>
      </c>
      <c r="Q207" t="str">
        <f t="shared" si="7"/>
        <v>Premium</v>
      </c>
      <c r="R207" t="str" cm="1">
        <f t="array" ref="R207">_xlfn.IFS(L207&gt;50000,"Premium",L207&gt;20000,"High",L207&gt;5000,"Medium",TRUE,"Low")</f>
        <v>Premium</v>
      </c>
    </row>
    <row r="208" spans="1:18" x14ac:dyDescent="0.3">
      <c r="A208" t="s">
        <v>613</v>
      </c>
      <c r="B208" s="1">
        <v>45063</v>
      </c>
      <c r="C208" t="s">
        <v>614</v>
      </c>
      <c r="D208" t="s">
        <v>615</v>
      </c>
      <c r="E208" t="s">
        <v>59</v>
      </c>
      <c r="F208" t="s">
        <v>32</v>
      </c>
      <c r="G208" t="s">
        <v>309</v>
      </c>
      <c r="H208">
        <v>5</v>
      </c>
      <c r="I208">
        <v>180</v>
      </c>
      <c r="J208">
        <v>25</v>
      </c>
      <c r="K208">
        <v>225</v>
      </c>
      <c r="L208">
        <v>675</v>
      </c>
      <c r="M208">
        <v>149.76</v>
      </c>
      <c r="N208" t="s">
        <v>99</v>
      </c>
      <c r="O208" t="s">
        <v>22</v>
      </c>
      <c r="P208" t="str">
        <f t="shared" si="6"/>
        <v>Low Value</v>
      </c>
      <c r="Q208" t="str">
        <f t="shared" si="7"/>
        <v>Low</v>
      </c>
      <c r="R208" t="str" cm="1">
        <f t="array" ref="R208">_xlfn.IFS(L208&gt;50000,"Premium",L208&gt;20000,"High",L208&gt;5000,"Medium",TRUE,"Low")</f>
        <v>Low</v>
      </c>
    </row>
    <row r="209" spans="1:18" x14ac:dyDescent="0.3">
      <c r="A209" t="s">
        <v>616</v>
      </c>
      <c r="B209" s="1">
        <v>45084</v>
      </c>
      <c r="C209" t="s">
        <v>617</v>
      </c>
      <c r="D209" t="s">
        <v>618</v>
      </c>
      <c r="E209" t="s">
        <v>48</v>
      </c>
      <c r="F209" t="s">
        <v>69</v>
      </c>
      <c r="G209" t="s">
        <v>119</v>
      </c>
      <c r="H209">
        <v>5</v>
      </c>
      <c r="I209">
        <v>2500</v>
      </c>
      <c r="J209">
        <v>25</v>
      </c>
      <c r="K209">
        <v>3125</v>
      </c>
      <c r="L209">
        <v>9375</v>
      </c>
      <c r="M209">
        <v>2633.93</v>
      </c>
      <c r="N209" t="s">
        <v>21</v>
      </c>
      <c r="O209" t="s">
        <v>35</v>
      </c>
      <c r="P209" t="str">
        <f t="shared" si="6"/>
        <v>Low Value</v>
      </c>
      <c r="Q209" t="str">
        <f t="shared" si="7"/>
        <v>Medium</v>
      </c>
      <c r="R209" t="str" cm="1">
        <f t="array" ref="R209">_xlfn.IFS(L209&gt;50000,"Premium",L209&gt;20000,"High",L209&gt;5000,"Medium",TRUE,"Low")</f>
        <v>Medium</v>
      </c>
    </row>
    <row r="210" spans="1:18" x14ac:dyDescent="0.3">
      <c r="A210" t="s">
        <v>619</v>
      </c>
      <c r="B210" s="1">
        <v>45039</v>
      </c>
      <c r="C210" t="s">
        <v>552</v>
      </c>
      <c r="D210" t="s">
        <v>411</v>
      </c>
      <c r="E210" t="s">
        <v>54</v>
      </c>
      <c r="F210" t="s">
        <v>69</v>
      </c>
      <c r="G210" t="s">
        <v>119</v>
      </c>
      <c r="H210">
        <v>2</v>
      </c>
      <c r="I210">
        <v>2500</v>
      </c>
      <c r="J210">
        <v>15</v>
      </c>
      <c r="K210">
        <v>750</v>
      </c>
      <c r="L210">
        <v>4250</v>
      </c>
      <c r="M210">
        <v>1165.8599999999999</v>
      </c>
      <c r="N210" t="s">
        <v>21</v>
      </c>
      <c r="O210" t="s">
        <v>35</v>
      </c>
      <c r="P210" t="str">
        <f t="shared" si="6"/>
        <v>Low Value</v>
      </c>
      <c r="Q210" t="str">
        <f t="shared" si="7"/>
        <v>Low</v>
      </c>
      <c r="R210" t="str" cm="1">
        <f t="array" ref="R210">_xlfn.IFS(L210&gt;50000,"Premium",L210&gt;20000,"High",L210&gt;5000,"Medium",TRUE,"Low")</f>
        <v>Low</v>
      </c>
    </row>
    <row r="211" spans="1:18" x14ac:dyDescent="0.3">
      <c r="A211" t="s">
        <v>620</v>
      </c>
      <c r="B211" s="1">
        <v>45053</v>
      </c>
      <c r="C211" t="s">
        <v>621</v>
      </c>
      <c r="D211" t="s">
        <v>435</v>
      </c>
      <c r="E211" t="s">
        <v>18</v>
      </c>
      <c r="F211" t="s">
        <v>60</v>
      </c>
      <c r="G211" t="s">
        <v>349</v>
      </c>
      <c r="H211">
        <v>5</v>
      </c>
      <c r="I211">
        <v>250</v>
      </c>
      <c r="J211">
        <v>0</v>
      </c>
      <c r="K211">
        <v>0</v>
      </c>
      <c r="L211">
        <v>1250</v>
      </c>
      <c r="M211">
        <v>259.56</v>
      </c>
      <c r="N211" t="s">
        <v>99</v>
      </c>
      <c r="O211" t="s">
        <v>95</v>
      </c>
      <c r="P211" t="str">
        <f t="shared" si="6"/>
        <v>Low Value</v>
      </c>
      <c r="Q211" t="str">
        <f t="shared" si="7"/>
        <v>Low</v>
      </c>
      <c r="R211" t="str" cm="1">
        <f t="array" ref="R211">_xlfn.IFS(L211&gt;50000,"Premium",L211&gt;20000,"High",L211&gt;5000,"Medium",TRUE,"Low")</f>
        <v>Low</v>
      </c>
    </row>
    <row r="212" spans="1:18" x14ac:dyDescent="0.3">
      <c r="A212" t="s">
        <v>622</v>
      </c>
      <c r="B212" s="1">
        <v>45185</v>
      </c>
      <c r="C212" t="s">
        <v>623</v>
      </c>
      <c r="D212" t="s">
        <v>624</v>
      </c>
      <c r="E212" t="s">
        <v>18</v>
      </c>
      <c r="F212" t="s">
        <v>69</v>
      </c>
      <c r="G212" t="s">
        <v>243</v>
      </c>
      <c r="H212">
        <v>5</v>
      </c>
      <c r="I212">
        <v>1999</v>
      </c>
      <c r="J212">
        <v>5</v>
      </c>
      <c r="K212">
        <v>499.75</v>
      </c>
      <c r="L212">
        <v>9495.25</v>
      </c>
      <c r="M212">
        <v>943.46</v>
      </c>
      <c r="N212" t="s">
        <v>27</v>
      </c>
      <c r="O212" t="s">
        <v>95</v>
      </c>
      <c r="P212" t="str">
        <f t="shared" si="6"/>
        <v>Low Value</v>
      </c>
      <c r="Q212" t="str">
        <f t="shared" si="7"/>
        <v>Medium</v>
      </c>
      <c r="R212" t="str" cm="1">
        <f t="array" ref="R212">_xlfn.IFS(L212&gt;50000,"Premium",L212&gt;20000,"High",L212&gt;5000,"Medium",TRUE,"Low")</f>
        <v>Medium</v>
      </c>
    </row>
    <row r="213" spans="1:18" x14ac:dyDescent="0.3">
      <c r="A213" t="s">
        <v>625</v>
      </c>
      <c r="B213" s="1">
        <v>45177</v>
      </c>
      <c r="C213" t="s">
        <v>427</v>
      </c>
      <c r="D213" t="s">
        <v>626</v>
      </c>
      <c r="E213" t="s">
        <v>59</v>
      </c>
      <c r="F213" t="s">
        <v>19</v>
      </c>
      <c r="G213" t="s">
        <v>130</v>
      </c>
      <c r="H213">
        <v>4</v>
      </c>
      <c r="I213">
        <v>22000</v>
      </c>
      <c r="J213">
        <v>0</v>
      </c>
      <c r="K213">
        <v>0</v>
      </c>
      <c r="L213">
        <v>88000</v>
      </c>
      <c r="M213">
        <v>16370.61</v>
      </c>
      <c r="N213" t="s">
        <v>21</v>
      </c>
      <c r="O213" t="s">
        <v>22</v>
      </c>
      <c r="P213" t="str">
        <f t="shared" si="6"/>
        <v>High Value</v>
      </c>
      <c r="Q213" t="str">
        <f t="shared" si="7"/>
        <v>Premium</v>
      </c>
      <c r="R213" t="str" cm="1">
        <f t="array" ref="R213">_xlfn.IFS(L213&gt;50000,"Premium",L213&gt;20000,"High",L213&gt;5000,"Medium",TRUE,"Low")</f>
        <v>Premium</v>
      </c>
    </row>
    <row r="214" spans="1:18" x14ac:dyDescent="0.3">
      <c r="A214" t="s">
        <v>627</v>
      </c>
      <c r="B214" s="1">
        <v>45271</v>
      </c>
      <c r="C214" t="s">
        <v>628</v>
      </c>
      <c r="D214" t="s">
        <v>629</v>
      </c>
      <c r="E214" t="s">
        <v>18</v>
      </c>
      <c r="F214" t="s">
        <v>49</v>
      </c>
      <c r="G214" t="s">
        <v>161</v>
      </c>
      <c r="H214">
        <v>1</v>
      </c>
      <c r="I214">
        <v>599</v>
      </c>
      <c r="J214">
        <v>15</v>
      </c>
      <c r="K214">
        <v>89.85</v>
      </c>
      <c r="L214">
        <v>509.15</v>
      </c>
      <c r="M214">
        <v>64.319999999999993</v>
      </c>
      <c r="N214" t="s">
        <v>99</v>
      </c>
      <c r="O214" t="s">
        <v>22</v>
      </c>
      <c r="P214" t="str">
        <f t="shared" si="6"/>
        <v>Low Value</v>
      </c>
      <c r="Q214" t="str">
        <f t="shared" si="7"/>
        <v>Low</v>
      </c>
      <c r="R214" t="str" cm="1">
        <f t="array" ref="R214">_xlfn.IFS(L214&gt;50000,"Premium",L214&gt;20000,"High",L214&gt;5000,"Medium",TRUE,"Low")</f>
        <v>Low</v>
      </c>
    </row>
    <row r="215" spans="1:18" x14ac:dyDescent="0.3">
      <c r="A215" t="s">
        <v>630</v>
      </c>
      <c r="B215" s="1">
        <v>45103</v>
      </c>
      <c r="C215" t="s">
        <v>173</v>
      </c>
      <c r="D215" t="s">
        <v>631</v>
      </c>
      <c r="E215" t="s">
        <v>78</v>
      </c>
      <c r="F215" t="s">
        <v>60</v>
      </c>
      <c r="G215" t="s">
        <v>291</v>
      </c>
      <c r="H215">
        <v>5</v>
      </c>
      <c r="I215">
        <v>450</v>
      </c>
      <c r="J215">
        <v>0</v>
      </c>
      <c r="K215">
        <v>0</v>
      </c>
      <c r="L215">
        <v>2250</v>
      </c>
      <c r="M215">
        <v>743.34</v>
      </c>
      <c r="N215" t="s">
        <v>41</v>
      </c>
      <c r="O215" t="s">
        <v>35</v>
      </c>
      <c r="P215" t="str">
        <f t="shared" si="6"/>
        <v>Low Value</v>
      </c>
      <c r="Q215" t="str">
        <f t="shared" si="7"/>
        <v>Low</v>
      </c>
      <c r="R215" t="str" cm="1">
        <f t="array" ref="R215">_xlfn.IFS(L215&gt;50000,"Premium",L215&gt;20000,"High",L215&gt;5000,"Medium",TRUE,"Low")</f>
        <v>Low</v>
      </c>
    </row>
    <row r="216" spans="1:18" x14ac:dyDescent="0.3">
      <c r="A216" t="s">
        <v>632</v>
      </c>
      <c r="B216" s="1">
        <v>44996</v>
      </c>
      <c r="C216" t="s">
        <v>336</v>
      </c>
      <c r="D216" t="s">
        <v>512</v>
      </c>
      <c r="E216" t="s">
        <v>26</v>
      </c>
      <c r="F216" t="s">
        <v>49</v>
      </c>
      <c r="G216" t="s">
        <v>458</v>
      </c>
      <c r="H216">
        <v>4</v>
      </c>
      <c r="I216">
        <v>549</v>
      </c>
      <c r="J216">
        <v>10</v>
      </c>
      <c r="K216">
        <v>219.6</v>
      </c>
      <c r="L216">
        <v>1976.4</v>
      </c>
      <c r="M216">
        <v>687.5</v>
      </c>
      <c r="N216" t="s">
        <v>99</v>
      </c>
      <c r="O216" t="s">
        <v>95</v>
      </c>
      <c r="P216" t="str">
        <f t="shared" si="6"/>
        <v>Low Value</v>
      </c>
      <c r="Q216" t="str">
        <f t="shared" si="7"/>
        <v>Low</v>
      </c>
      <c r="R216" t="str" cm="1">
        <f t="array" ref="R216">_xlfn.IFS(L216&gt;50000,"Premium",L216&gt;20000,"High",L216&gt;5000,"Medium",TRUE,"Low")</f>
        <v>Low</v>
      </c>
    </row>
    <row r="217" spans="1:18" x14ac:dyDescent="0.3">
      <c r="A217" t="s">
        <v>633</v>
      </c>
      <c r="B217" s="1">
        <v>44995</v>
      </c>
      <c r="C217" t="s">
        <v>634</v>
      </c>
      <c r="D217" t="s">
        <v>312</v>
      </c>
      <c r="E217" t="s">
        <v>83</v>
      </c>
      <c r="F217" t="s">
        <v>60</v>
      </c>
      <c r="G217" t="s">
        <v>349</v>
      </c>
      <c r="H217">
        <v>3</v>
      </c>
      <c r="I217">
        <v>250</v>
      </c>
      <c r="J217">
        <v>0</v>
      </c>
      <c r="K217">
        <v>0</v>
      </c>
      <c r="L217">
        <v>750</v>
      </c>
      <c r="M217">
        <v>77.66</v>
      </c>
      <c r="N217" t="s">
        <v>27</v>
      </c>
      <c r="O217" t="s">
        <v>35</v>
      </c>
      <c r="P217" t="str">
        <f t="shared" si="6"/>
        <v>Low Value</v>
      </c>
      <c r="Q217" t="str">
        <f t="shared" si="7"/>
        <v>Low</v>
      </c>
      <c r="R217" t="str" cm="1">
        <f t="array" ref="R217">_xlfn.IFS(L217&gt;50000,"Premium",L217&gt;20000,"High",L217&gt;5000,"Medium",TRUE,"Low")</f>
        <v>Low</v>
      </c>
    </row>
    <row r="218" spans="1:18" x14ac:dyDescent="0.3">
      <c r="A218" t="s">
        <v>635</v>
      </c>
      <c r="B218" s="1">
        <v>44938</v>
      </c>
      <c r="C218" t="s">
        <v>636</v>
      </c>
      <c r="D218" t="s">
        <v>637</v>
      </c>
      <c r="E218" t="s">
        <v>54</v>
      </c>
      <c r="F218" t="s">
        <v>32</v>
      </c>
      <c r="G218" t="s">
        <v>259</v>
      </c>
      <c r="H218">
        <v>5</v>
      </c>
      <c r="I218">
        <v>450</v>
      </c>
      <c r="J218">
        <v>15</v>
      </c>
      <c r="K218">
        <v>337.5</v>
      </c>
      <c r="L218">
        <v>1912.5</v>
      </c>
      <c r="M218">
        <v>400.82</v>
      </c>
      <c r="N218" t="s">
        <v>34</v>
      </c>
      <c r="O218" t="s">
        <v>35</v>
      </c>
      <c r="P218" t="str">
        <f t="shared" si="6"/>
        <v>Low Value</v>
      </c>
      <c r="Q218" t="str">
        <f t="shared" si="7"/>
        <v>Low</v>
      </c>
      <c r="R218" t="str" cm="1">
        <f t="array" ref="R218">_xlfn.IFS(L218&gt;50000,"Premium",L218&gt;20000,"High",L218&gt;5000,"Medium",TRUE,"Low")</f>
        <v>Low</v>
      </c>
    </row>
    <row r="219" spans="1:18" x14ac:dyDescent="0.3">
      <c r="A219" t="s">
        <v>638</v>
      </c>
      <c r="B219" s="1">
        <v>45068</v>
      </c>
      <c r="C219" t="s">
        <v>557</v>
      </c>
      <c r="D219" t="s">
        <v>391</v>
      </c>
      <c r="E219" t="s">
        <v>31</v>
      </c>
      <c r="F219" t="s">
        <v>69</v>
      </c>
      <c r="G219" t="s">
        <v>70</v>
      </c>
      <c r="H219">
        <v>1</v>
      </c>
      <c r="I219">
        <v>2499</v>
      </c>
      <c r="J219">
        <v>0</v>
      </c>
      <c r="K219">
        <v>0</v>
      </c>
      <c r="L219">
        <v>2499</v>
      </c>
      <c r="M219">
        <v>731.82</v>
      </c>
      <c r="N219" t="s">
        <v>27</v>
      </c>
      <c r="O219" t="s">
        <v>35</v>
      </c>
      <c r="P219" t="str">
        <f t="shared" si="6"/>
        <v>Low Value</v>
      </c>
      <c r="Q219" t="str">
        <f t="shared" si="7"/>
        <v>Low</v>
      </c>
      <c r="R219" t="str" cm="1">
        <f t="array" ref="R219">_xlfn.IFS(L219&gt;50000,"Premium",L219&gt;20000,"High",L219&gt;5000,"Medium",TRUE,"Low")</f>
        <v>Low</v>
      </c>
    </row>
    <row r="220" spans="1:18" x14ac:dyDescent="0.3">
      <c r="A220" t="s">
        <v>639</v>
      </c>
      <c r="B220" s="1">
        <v>44978</v>
      </c>
      <c r="C220" t="s">
        <v>640</v>
      </c>
      <c r="D220" t="s">
        <v>58</v>
      </c>
      <c r="E220" t="s">
        <v>59</v>
      </c>
      <c r="F220" t="s">
        <v>74</v>
      </c>
      <c r="G220" t="s">
        <v>137</v>
      </c>
      <c r="H220">
        <v>4</v>
      </c>
      <c r="I220">
        <v>2500</v>
      </c>
      <c r="J220">
        <v>20</v>
      </c>
      <c r="K220">
        <v>2000</v>
      </c>
      <c r="L220">
        <v>8000</v>
      </c>
      <c r="M220">
        <v>2012.86</v>
      </c>
      <c r="N220" t="s">
        <v>41</v>
      </c>
      <c r="O220" t="s">
        <v>22</v>
      </c>
      <c r="P220" t="str">
        <f t="shared" si="6"/>
        <v>Low Value</v>
      </c>
      <c r="Q220" t="str">
        <f t="shared" si="7"/>
        <v>Medium</v>
      </c>
      <c r="R220" t="str" cm="1">
        <f t="array" ref="R220">_xlfn.IFS(L220&gt;50000,"Premium",L220&gt;20000,"High",L220&gt;5000,"Medium",TRUE,"Low")</f>
        <v>Medium</v>
      </c>
    </row>
    <row r="221" spans="1:18" x14ac:dyDescent="0.3">
      <c r="A221" t="s">
        <v>641</v>
      </c>
      <c r="B221" s="1">
        <v>45046</v>
      </c>
      <c r="C221" t="s">
        <v>642</v>
      </c>
      <c r="D221" t="s">
        <v>643</v>
      </c>
      <c r="E221" t="s">
        <v>48</v>
      </c>
      <c r="F221" t="s">
        <v>74</v>
      </c>
      <c r="G221" t="s">
        <v>381</v>
      </c>
      <c r="H221">
        <v>1</v>
      </c>
      <c r="I221">
        <v>800</v>
      </c>
      <c r="J221">
        <v>5</v>
      </c>
      <c r="K221">
        <v>40</v>
      </c>
      <c r="L221">
        <v>760</v>
      </c>
      <c r="M221">
        <v>152.88999999999999</v>
      </c>
      <c r="N221" t="s">
        <v>21</v>
      </c>
      <c r="O221" t="s">
        <v>95</v>
      </c>
      <c r="P221" t="str">
        <f t="shared" si="6"/>
        <v>Low Value</v>
      </c>
      <c r="Q221" t="str">
        <f t="shared" si="7"/>
        <v>Low</v>
      </c>
      <c r="R221" t="str" cm="1">
        <f t="array" ref="R221">_xlfn.IFS(L221&gt;50000,"Premium",L221&gt;20000,"High",L221&gt;5000,"Medium",TRUE,"Low")</f>
        <v>Low</v>
      </c>
    </row>
    <row r="222" spans="1:18" x14ac:dyDescent="0.3">
      <c r="A222" t="s">
        <v>644</v>
      </c>
      <c r="B222" s="1">
        <v>45271</v>
      </c>
      <c r="C222" t="s">
        <v>645</v>
      </c>
      <c r="D222" t="s">
        <v>646</v>
      </c>
      <c r="E222" t="s">
        <v>26</v>
      </c>
      <c r="F222" t="s">
        <v>49</v>
      </c>
      <c r="G222" t="s">
        <v>161</v>
      </c>
      <c r="H222">
        <v>2</v>
      </c>
      <c r="I222">
        <v>599</v>
      </c>
      <c r="J222">
        <v>10</v>
      </c>
      <c r="K222">
        <v>119.8</v>
      </c>
      <c r="L222">
        <v>1078.2</v>
      </c>
      <c r="M222">
        <v>337.34</v>
      </c>
      <c r="N222" t="s">
        <v>34</v>
      </c>
      <c r="O222" t="s">
        <v>35</v>
      </c>
      <c r="P222" t="str">
        <f t="shared" si="6"/>
        <v>Low Value</v>
      </c>
      <c r="Q222" t="str">
        <f t="shared" si="7"/>
        <v>Low</v>
      </c>
      <c r="R222" t="str" cm="1">
        <f t="array" ref="R222">_xlfn.IFS(L222&gt;50000,"Premium",L222&gt;20000,"High",L222&gt;5000,"Medium",TRUE,"Low")</f>
        <v>Low</v>
      </c>
    </row>
    <row r="223" spans="1:18" x14ac:dyDescent="0.3">
      <c r="A223" t="s">
        <v>647</v>
      </c>
      <c r="B223" s="1">
        <v>44958</v>
      </c>
      <c r="C223" t="s">
        <v>648</v>
      </c>
      <c r="D223" t="s">
        <v>631</v>
      </c>
      <c r="E223" t="s">
        <v>48</v>
      </c>
      <c r="F223" t="s">
        <v>74</v>
      </c>
      <c r="G223" t="s">
        <v>144</v>
      </c>
      <c r="H223">
        <v>2</v>
      </c>
      <c r="I223">
        <v>1500</v>
      </c>
      <c r="J223">
        <v>25</v>
      </c>
      <c r="K223">
        <v>750</v>
      </c>
      <c r="L223">
        <v>2250</v>
      </c>
      <c r="M223">
        <v>570.66</v>
      </c>
      <c r="N223" t="s">
        <v>41</v>
      </c>
      <c r="O223" t="s">
        <v>95</v>
      </c>
      <c r="P223" t="str">
        <f t="shared" si="6"/>
        <v>Low Value</v>
      </c>
      <c r="Q223" t="str">
        <f t="shared" si="7"/>
        <v>Low</v>
      </c>
      <c r="R223" t="str" cm="1">
        <f t="array" ref="R223">_xlfn.IFS(L223&gt;50000,"Premium",L223&gt;20000,"High",L223&gt;5000,"Medium",TRUE,"Low")</f>
        <v>Low</v>
      </c>
    </row>
    <row r="224" spans="1:18" x14ac:dyDescent="0.3">
      <c r="A224" t="s">
        <v>649</v>
      </c>
      <c r="B224" s="1">
        <v>45090</v>
      </c>
      <c r="C224" t="s">
        <v>650</v>
      </c>
      <c r="D224" t="s">
        <v>125</v>
      </c>
      <c r="E224" t="s">
        <v>31</v>
      </c>
      <c r="F224" t="s">
        <v>60</v>
      </c>
      <c r="G224" t="s">
        <v>365</v>
      </c>
      <c r="H224">
        <v>4</v>
      </c>
      <c r="I224">
        <v>650</v>
      </c>
      <c r="J224">
        <v>5</v>
      </c>
      <c r="K224">
        <v>130</v>
      </c>
      <c r="L224">
        <v>2470</v>
      </c>
      <c r="M224">
        <v>345.72</v>
      </c>
      <c r="N224" t="s">
        <v>27</v>
      </c>
      <c r="O224" t="s">
        <v>35</v>
      </c>
      <c r="P224" t="str">
        <f t="shared" si="6"/>
        <v>Low Value</v>
      </c>
      <c r="Q224" t="str">
        <f t="shared" si="7"/>
        <v>Low</v>
      </c>
      <c r="R224" t="str" cm="1">
        <f t="array" ref="R224">_xlfn.IFS(L224&gt;50000,"Premium",L224&gt;20000,"High",L224&gt;5000,"Medium",TRUE,"Low")</f>
        <v>Low</v>
      </c>
    </row>
    <row r="225" spans="1:18" x14ac:dyDescent="0.3">
      <c r="A225" t="s">
        <v>651</v>
      </c>
      <c r="B225" s="1">
        <v>45289</v>
      </c>
      <c r="C225" t="s">
        <v>576</v>
      </c>
      <c r="D225" t="s">
        <v>652</v>
      </c>
      <c r="E225" t="s">
        <v>83</v>
      </c>
      <c r="F225" t="s">
        <v>69</v>
      </c>
      <c r="G225" t="s">
        <v>111</v>
      </c>
      <c r="H225">
        <v>4</v>
      </c>
      <c r="I225">
        <v>3499</v>
      </c>
      <c r="J225">
        <v>0</v>
      </c>
      <c r="K225">
        <v>0</v>
      </c>
      <c r="L225">
        <v>13996</v>
      </c>
      <c r="M225">
        <v>3061.15</v>
      </c>
      <c r="N225" t="s">
        <v>41</v>
      </c>
      <c r="O225" t="s">
        <v>35</v>
      </c>
      <c r="P225" t="str">
        <f t="shared" si="6"/>
        <v>Low Value</v>
      </c>
      <c r="Q225" t="str">
        <f t="shared" si="7"/>
        <v>Medium</v>
      </c>
      <c r="R225" t="str" cm="1">
        <f t="array" ref="R225">_xlfn.IFS(L225&gt;50000,"Premium",L225&gt;20000,"High",L225&gt;5000,"Medium",TRUE,"Low")</f>
        <v>Medium</v>
      </c>
    </row>
    <row r="226" spans="1:18" x14ac:dyDescent="0.3">
      <c r="A226" t="s">
        <v>653</v>
      </c>
      <c r="B226" s="1">
        <v>45057</v>
      </c>
      <c r="C226" t="s">
        <v>407</v>
      </c>
      <c r="D226" t="s">
        <v>25</v>
      </c>
      <c r="E226" t="s">
        <v>59</v>
      </c>
      <c r="F226" t="s">
        <v>69</v>
      </c>
      <c r="G226" t="s">
        <v>275</v>
      </c>
      <c r="H226">
        <v>1</v>
      </c>
      <c r="I226">
        <v>799</v>
      </c>
      <c r="J226">
        <v>15</v>
      </c>
      <c r="K226">
        <v>119.85</v>
      </c>
      <c r="L226">
        <v>679.15</v>
      </c>
      <c r="M226">
        <v>206.56</v>
      </c>
      <c r="N226" t="s">
        <v>34</v>
      </c>
      <c r="O226" t="s">
        <v>22</v>
      </c>
      <c r="P226" t="str">
        <f t="shared" si="6"/>
        <v>Low Value</v>
      </c>
      <c r="Q226" t="str">
        <f t="shared" si="7"/>
        <v>Low</v>
      </c>
      <c r="R226" t="str" cm="1">
        <f t="array" ref="R226">_xlfn.IFS(L226&gt;50000,"Premium",L226&gt;20000,"High",L226&gt;5000,"Medium",TRUE,"Low")</f>
        <v>Low</v>
      </c>
    </row>
    <row r="227" spans="1:18" x14ac:dyDescent="0.3">
      <c r="A227" t="s">
        <v>654</v>
      </c>
      <c r="B227" s="1">
        <v>45271</v>
      </c>
      <c r="C227" t="s">
        <v>231</v>
      </c>
      <c r="D227" t="s">
        <v>655</v>
      </c>
      <c r="E227" t="s">
        <v>31</v>
      </c>
      <c r="F227" t="s">
        <v>74</v>
      </c>
      <c r="G227" t="s">
        <v>144</v>
      </c>
      <c r="H227">
        <v>1</v>
      </c>
      <c r="I227">
        <v>1500</v>
      </c>
      <c r="J227">
        <v>0</v>
      </c>
      <c r="K227">
        <v>0</v>
      </c>
      <c r="L227">
        <v>1500</v>
      </c>
      <c r="M227">
        <v>159.66999999999999</v>
      </c>
      <c r="N227" t="s">
        <v>41</v>
      </c>
      <c r="O227" t="s">
        <v>35</v>
      </c>
      <c r="P227" t="str">
        <f t="shared" si="6"/>
        <v>Low Value</v>
      </c>
      <c r="Q227" t="str">
        <f t="shared" si="7"/>
        <v>Low</v>
      </c>
      <c r="R227" t="str" cm="1">
        <f t="array" ref="R227">_xlfn.IFS(L227&gt;50000,"Premium",L227&gt;20000,"High",L227&gt;5000,"Medium",TRUE,"Low")</f>
        <v>Low</v>
      </c>
    </row>
    <row r="228" spans="1:18" x14ac:dyDescent="0.3">
      <c r="A228" t="s">
        <v>656</v>
      </c>
      <c r="B228" s="1">
        <v>45097</v>
      </c>
      <c r="C228" t="s">
        <v>657</v>
      </c>
      <c r="D228" t="s">
        <v>414</v>
      </c>
      <c r="E228" t="s">
        <v>31</v>
      </c>
      <c r="F228" t="s">
        <v>32</v>
      </c>
      <c r="G228" t="s">
        <v>253</v>
      </c>
      <c r="H228">
        <v>2</v>
      </c>
      <c r="I228">
        <v>350</v>
      </c>
      <c r="J228">
        <v>5</v>
      </c>
      <c r="K228">
        <v>35</v>
      </c>
      <c r="L228">
        <v>665</v>
      </c>
      <c r="M228">
        <v>225.18</v>
      </c>
      <c r="N228" t="s">
        <v>41</v>
      </c>
      <c r="O228" t="s">
        <v>35</v>
      </c>
      <c r="P228" t="str">
        <f t="shared" si="6"/>
        <v>Low Value</v>
      </c>
      <c r="Q228" t="str">
        <f t="shared" si="7"/>
        <v>Low</v>
      </c>
      <c r="R228" t="str" cm="1">
        <f t="array" ref="R228">_xlfn.IFS(L228&gt;50000,"Premium",L228&gt;20000,"High",L228&gt;5000,"Medium",TRUE,"Low")</f>
        <v>Low</v>
      </c>
    </row>
    <row r="229" spans="1:18" x14ac:dyDescent="0.3">
      <c r="A229" t="s">
        <v>658</v>
      </c>
      <c r="B229" s="1">
        <v>45209</v>
      </c>
      <c r="C229" t="s">
        <v>97</v>
      </c>
      <c r="D229" t="s">
        <v>659</v>
      </c>
      <c r="E229" t="s">
        <v>78</v>
      </c>
      <c r="F229" t="s">
        <v>32</v>
      </c>
      <c r="G229" t="s">
        <v>33</v>
      </c>
      <c r="H229">
        <v>3</v>
      </c>
      <c r="I229">
        <v>400</v>
      </c>
      <c r="J229">
        <v>15</v>
      </c>
      <c r="K229">
        <v>180</v>
      </c>
      <c r="L229">
        <v>1020</v>
      </c>
      <c r="M229">
        <v>193.67</v>
      </c>
      <c r="N229" t="s">
        <v>34</v>
      </c>
      <c r="O229" t="s">
        <v>95</v>
      </c>
      <c r="P229" t="str">
        <f t="shared" si="6"/>
        <v>Low Value</v>
      </c>
      <c r="Q229" t="str">
        <f t="shared" si="7"/>
        <v>Low</v>
      </c>
      <c r="R229" t="str" cm="1">
        <f t="array" ref="R229">_xlfn.IFS(L229&gt;50000,"Premium",L229&gt;20000,"High",L229&gt;5000,"Medium",TRUE,"Low")</f>
        <v>Low</v>
      </c>
    </row>
    <row r="230" spans="1:18" x14ac:dyDescent="0.3">
      <c r="A230" t="s">
        <v>660</v>
      </c>
      <c r="B230" s="1">
        <v>45181</v>
      </c>
      <c r="C230" t="s">
        <v>661</v>
      </c>
      <c r="D230" t="s">
        <v>405</v>
      </c>
      <c r="E230" t="s">
        <v>59</v>
      </c>
      <c r="F230" t="s">
        <v>39</v>
      </c>
      <c r="G230" t="s">
        <v>40</v>
      </c>
      <c r="H230">
        <v>4</v>
      </c>
      <c r="I230">
        <v>8500</v>
      </c>
      <c r="J230">
        <v>10</v>
      </c>
      <c r="K230">
        <v>3400</v>
      </c>
      <c r="L230">
        <v>30600</v>
      </c>
      <c r="M230">
        <v>9923.5499999999993</v>
      </c>
      <c r="N230" t="s">
        <v>21</v>
      </c>
      <c r="O230" t="s">
        <v>35</v>
      </c>
      <c r="P230" t="str">
        <f t="shared" si="6"/>
        <v>High Value</v>
      </c>
      <c r="Q230" t="str">
        <f t="shared" si="7"/>
        <v>High</v>
      </c>
      <c r="R230" t="str" cm="1">
        <f t="array" ref="R230">_xlfn.IFS(L230&gt;50000,"Premium",L230&gt;20000,"High",L230&gt;5000,"Medium",TRUE,"Low")</f>
        <v>High</v>
      </c>
    </row>
    <row r="231" spans="1:18" x14ac:dyDescent="0.3">
      <c r="A231" t="s">
        <v>662</v>
      </c>
      <c r="B231" s="1">
        <v>45001</v>
      </c>
      <c r="C231" t="s">
        <v>283</v>
      </c>
      <c r="D231" t="s">
        <v>663</v>
      </c>
      <c r="E231" t="s">
        <v>31</v>
      </c>
      <c r="F231" t="s">
        <v>19</v>
      </c>
      <c r="G231" t="s">
        <v>103</v>
      </c>
      <c r="H231">
        <v>5</v>
      </c>
      <c r="I231">
        <v>3500</v>
      </c>
      <c r="J231">
        <v>20</v>
      </c>
      <c r="K231">
        <v>3500</v>
      </c>
      <c r="L231">
        <v>14000</v>
      </c>
      <c r="M231">
        <v>3132.4</v>
      </c>
      <c r="N231" t="s">
        <v>34</v>
      </c>
      <c r="O231" t="s">
        <v>35</v>
      </c>
      <c r="P231" t="str">
        <f t="shared" si="6"/>
        <v>Low Value</v>
      </c>
      <c r="Q231" t="str">
        <f t="shared" si="7"/>
        <v>Medium</v>
      </c>
      <c r="R231" t="str" cm="1">
        <f t="array" ref="R231">_xlfn.IFS(L231&gt;50000,"Premium",L231&gt;20000,"High",L231&gt;5000,"Medium",TRUE,"Low")</f>
        <v>Medium</v>
      </c>
    </row>
    <row r="232" spans="1:18" x14ac:dyDescent="0.3">
      <c r="A232" t="s">
        <v>664</v>
      </c>
      <c r="B232" s="1">
        <v>45121</v>
      </c>
      <c r="C232" t="s">
        <v>665</v>
      </c>
      <c r="D232" t="s">
        <v>666</v>
      </c>
      <c r="E232" t="s">
        <v>54</v>
      </c>
      <c r="F232" t="s">
        <v>74</v>
      </c>
      <c r="G232" t="s">
        <v>250</v>
      </c>
      <c r="H232">
        <v>2</v>
      </c>
      <c r="I232">
        <v>3500</v>
      </c>
      <c r="J232">
        <v>15</v>
      </c>
      <c r="K232">
        <v>1050</v>
      </c>
      <c r="L232">
        <v>5950</v>
      </c>
      <c r="M232">
        <v>1280.4000000000001</v>
      </c>
      <c r="N232" t="s">
        <v>41</v>
      </c>
      <c r="O232" t="s">
        <v>22</v>
      </c>
      <c r="P232" t="str">
        <f t="shared" si="6"/>
        <v>Low Value</v>
      </c>
      <c r="Q232" t="str">
        <f t="shared" si="7"/>
        <v>Medium</v>
      </c>
      <c r="R232" t="str" cm="1">
        <f t="array" ref="R232">_xlfn.IFS(L232&gt;50000,"Premium",L232&gt;20000,"High",L232&gt;5000,"Medium",TRUE,"Low")</f>
        <v>Medium</v>
      </c>
    </row>
    <row r="233" spans="1:18" x14ac:dyDescent="0.3">
      <c r="A233" t="s">
        <v>667</v>
      </c>
      <c r="B233" s="1">
        <v>45013</v>
      </c>
      <c r="C233" t="s">
        <v>668</v>
      </c>
      <c r="D233" t="s">
        <v>669</v>
      </c>
      <c r="E233" t="s">
        <v>59</v>
      </c>
      <c r="F233" t="s">
        <v>60</v>
      </c>
      <c r="G233" t="s">
        <v>349</v>
      </c>
      <c r="H233">
        <v>3</v>
      </c>
      <c r="I233">
        <v>250</v>
      </c>
      <c r="J233">
        <v>5</v>
      </c>
      <c r="K233">
        <v>37.5</v>
      </c>
      <c r="L233">
        <v>712.5</v>
      </c>
      <c r="M233">
        <v>65.540000000000006</v>
      </c>
      <c r="N233" t="s">
        <v>21</v>
      </c>
      <c r="O233" t="s">
        <v>35</v>
      </c>
      <c r="P233" t="str">
        <f t="shared" si="6"/>
        <v>Low Value</v>
      </c>
      <c r="Q233" t="str">
        <f t="shared" si="7"/>
        <v>Low</v>
      </c>
      <c r="R233" t="str" cm="1">
        <f t="array" ref="R233">_xlfn.IFS(L233&gt;50000,"Premium",L233&gt;20000,"High",L233&gt;5000,"Medium",TRUE,"Low")</f>
        <v>Low</v>
      </c>
    </row>
    <row r="234" spans="1:18" x14ac:dyDescent="0.3">
      <c r="A234" t="s">
        <v>670</v>
      </c>
      <c r="B234" s="1">
        <v>44965</v>
      </c>
      <c r="C234" t="s">
        <v>671</v>
      </c>
      <c r="D234" t="s">
        <v>235</v>
      </c>
      <c r="E234" t="s">
        <v>83</v>
      </c>
      <c r="F234" t="s">
        <v>49</v>
      </c>
      <c r="G234" t="s">
        <v>458</v>
      </c>
      <c r="H234">
        <v>1</v>
      </c>
      <c r="I234">
        <v>549</v>
      </c>
      <c r="J234">
        <v>0</v>
      </c>
      <c r="K234">
        <v>0</v>
      </c>
      <c r="L234">
        <v>549</v>
      </c>
      <c r="M234">
        <v>95.37</v>
      </c>
      <c r="N234" t="s">
        <v>99</v>
      </c>
      <c r="O234" t="s">
        <v>35</v>
      </c>
      <c r="P234" t="str">
        <f t="shared" si="6"/>
        <v>Low Value</v>
      </c>
      <c r="Q234" t="str">
        <f t="shared" si="7"/>
        <v>Low</v>
      </c>
      <c r="R234" t="str" cm="1">
        <f t="array" ref="R234">_xlfn.IFS(L234&gt;50000,"Premium",L234&gt;20000,"High",L234&gt;5000,"Medium",TRUE,"Low")</f>
        <v>Low</v>
      </c>
    </row>
    <row r="235" spans="1:18" x14ac:dyDescent="0.3">
      <c r="A235" t="s">
        <v>672</v>
      </c>
      <c r="B235" s="1">
        <v>45185</v>
      </c>
      <c r="C235" t="s">
        <v>673</v>
      </c>
      <c r="D235" t="s">
        <v>674</v>
      </c>
      <c r="E235" t="s">
        <v>54</v>
      </c>
      <c r="F235" t="s">
        <v>39</v>
      </c>
      <c r="G235" t="s">
        <v>126</v>
      </c>
      <c r="H235">
        <v>1</v>
      </c>
      <c r="I235">
        <v>4200</v>
      </c>
      <c r="J235">
        <v>20</v>
      </c>
      <c r="K235">
        <v>840</v>
      </c>
      <c r="L235">
        <v>3360</v>
      </c>
      <c r="M235">
        <v>810.83</v>
      </c>
      <c r="N235" t="s">
        <v>99</v>
      </c>
      <c r="O235" t="s">
        <v>35</v>
      </c>
      <c r="P235" t="str">
        <f t="shared" si="6"/>
        <v>Low Value</v>
      </c>
      <c r="Q235" t="str">
        <f t="shared" si="7"/>
        <v>Low</v>
      </c>
      <c r="R235" t="str" cm="1">
        <f t="array" ref="R235">_xlfn.IFS(L235&gt;50000,"Premium",L235&gt;20000,"High",L235&gt;5000,"Medium",TRUE,"Low")</f>
        <v>Low</v>
      </c>
    </row>
    <row r="236" spans="1:18" x14ac:dyDescent="0.3">
      <c r="A236" t="s">
        <v>675</v>
      </c>
      <c r="B236" s="1">
        <v>45199</v>
      </c>
      <c r="C236" t="s">
        <v>518</v>
      </c>
      <c r="D236" t="s">
        <v>676</v>
      </c>
      <c r="E236" t="s">
        <v>59</v>
      </c>
      <c r="F236" t="s">
        <v>74</v>
      </c>
      <c r="G236" t="s">
        <v>75</v>
      </c>
      <c r="H236">
        <v>1</v>
      </c>
      <c r="I236">
        <v>2200</v>
      </c>
      <c r="J236">
        <v>0</v>
      </c>
      <c r="K236">
        <v>0</v>
      </c>
      <c r="L236">
        <v>2200</v>
      </c>
      <c r="M236">
        <v>459.42</v>
      </c>
      <c r="N236" t="s">
        <v>21</v>
      </c>
      <c r="O236" t="s">
        <v>22</v>
      </c>
      <c r="P236" t="str">
        <f t="shared" si="6"/>
        <v>Low Value</v>
      </c>
      <c r="Q236" t="str">
        <f t="shared" si="7"/>
        <v>Low</v>
      </c>
      <c r="R236" t="str" cm="1">
        <f t="array" ref="R236">_xlfn.IFS(L236&gt;50000,"Premium",L236&gt;20000,"High",L236&gt;5000,"Medium",TRUE,"Low")</f>
        <v>Low</v>
      </c>
    </row>
    <row r="237" spans="1:18" x14ac:dyDescent="0.3">
      <c r="A237" t="s">
        <v>677</v>
      </c>
      <c r="B237" s="1">
        <v>45018</v>
      </c>
      <c r="C237" t="s">
        <v>286</v>
      </c>
      <c r="D237" t="s">
        <v>678</v>
      </c>
      <c r="E237" t="s">
        <v>48</v>
      </c>
      <c r="F237" t="s">
        <v>19</v>
      </c>
      <c r="G237" t="s">
        <v>20</v>
      </c>
      <c r="H237">
        <v>5</v>
      </c>
      <c r="I237">
        <v>18000</v>
      </c>
      <c r="J237">
        <v>5</v>
      </c>
      <c r="K237">
        <v>4500</v>
      </c>
      <c r="L237">
        <v>85500</v>
      </c>
      <c r="M237">
        <v>10455.85</v>
      </c>
      <c r="N237" t="s">
        <v>34</v>
      </c>
      <c r="O237" t="s">
        <v>22</v>
      </c>
      <c r="P237" t="str">
        <f t="shared" si="6"/>
        <v>High Value</v>
      </c>
      <c r="Q237" t="str">
        <f t="shared" si="7"/>
        <v>Premium</v>
      </c>
      <c r="R237" t="str" cm="1">
        <f t="array" ref="R237">_xlfn.IFS(L237&gt;50000,"Premium",L237&gt;20000,"High",L237&gt;5000,"Medium",TRUE,"Low")</f>
        <v>Premium</v>
      </c>
    </row>
    <row r="238" spans="1:18" x14ac:dyDescent="0.3">
      <c r="A238" t="s">
        <v>679</v>
      </c>
      <c r="B238" s="1">
        <v>44967</v>
      </c>
      <c r="C238" t="s">
        <v>593</v>
      </c>
      <c r="D238" t="s">
        <v>195</v>
      </c>
      <c r="E238" t="s">
        <v>18</v>
      </c>
      <c r="F238" t="s">
        <v>32</v>
      </c>
      <c r="G238" t="s">
        <v>259</v>
      </c>
      <c r="H238">
        <v>4</v>
      </c>
      <c r="I238">
        <v>450</v>
      </c>
      <c r="J238">
        <v>20</v>
      </c>
      <c r="K238">
        <v>360</v>
      </c>
      <c r="L238">
        <v>1440</v>
      </c>
      <c r="M238">
        <v>177.07</v>
      </c>
      <c r="N238" t="s">
        <v>99</v>
      </c>
      <c r="O238" t="s">
        <v>35</v>
      </c>
      <c r="P238" t="str">
        <f t="shared" si="6"/>
        <v>Low Value</v>
      </c>
      <c r="Q238" t="str">
        <f t="shared" si="7"/>
        <v>Low</v>
      </c>
      <c r="R238" t="str" cm="1">
        <f t="array" ref="R238">_xlfn.IFS(L238&gt;50000,"Premium",L238&gt;20000,"High",L238&gt;5000,"Medium",TRUE,"Low")</f>
        <v>Low</v>
      </c>
    </row>
    <row r="239" spans="1:18" x14ac:dyDescent="0.3">
      <c r="A239" t="s">
        <v>680</v>
      </c>
      <c r="B239" s="1">
        <v>45134</v>
      </c>
      <c r="C239" t="s">
        <v>681</v>
      </c>
      <c r="D239" t="s">
        <v>682</v>
      </c>
      <c r="E239" t="s">
        <v>54</v>
      </c>
      <c r="F239" t="s">
        <v>39</v>
      </c>
      <c r="G239" t="s">
        <v>219</v>
      </c>
      <c r="H239">
        <v>5</v>
      </c>
      <c r="I239">
        <v>18000</v>
      </c>
      <c r="J239">
        <v>15</v>
      </c>
      <c r="K239">
        <v>13500</v>
      </c>
      <c r="L239">
        <v>76500</v>
      </c>
      <c r="M239">
        <v>5112.84</v>
      </c>
      <c r="N239" t="s">
        <v>41</v>
      </c>
      <c r="O239" t="s">
        <v>35</v>
      </c>
      <c r="P239" t="str">
        <f t="shared" si="6"/>
        <v>High Value</v>
      </c>
      <c r="Q239" t="str">
        <f t="shared" si="7"/>
        <v>Premium</v>
      </c>
      <c r="R239" t="str" cm="1">
        <f t="array" ref="R239">_xlfn.IFS(L239&gt;50000,"Premium",L239&gt;20000,"High",L239&gt;5000,"Medium",TRUE,"Low")</f>
        <v>Premium</v>
      </c>
    </row>
    <row r="240" spans="1:18" x14ac:dyDescent="0.3">
      <c r="A240" t="s">
        <v>683</v>
      </c>
      <c r="B240" s="1">
        <v>45216</v>
      </c>
      <c r="C240" t="s">
        <v>684</v>
      </c>
      <c r="D240" t="s">
        <v>685</v>
      </c>
      <c r="E240" t="s">
        <v>78</v>
      </c>
      <c r="F240" t="s">
        <v>49</v>
      </c>
      <c r="G240" t="s">
        <v>50</v>
      </c>
      <c r="H240">
        <v>5</v>
      </c>
      <c r="I240">
        <v>499</v>
      </c>
      <c r="J240">
        <v>0</v>
      </c>
      <c r="K240">
        <v>0</v>
      </c>
      <c r="L240">
        <v>2495</v>
      </c>
      <c r="M240">
        <v>296.73</v>
      </c>
      <c r="N240" t="s">
        <v>99</v>
      </c>
      <c r="O240" t="s">
        <v>35</v>
      </c>
      <c r="P240" t="str">
        <f t="shared" si="6"/>
        <v>Low Value</v>
      </c>
      <c r="Q240" t="str">
        <f t="shared" si="7"/>
        <v>Low</v>
      </c>
      <c r="R240" t="str" cm="1">
        <f t="array" ref="R240">_xlfn.IFS(L240&gt;50000,"Premium",L240&gt;20000,"High",L240&gt;5000,"Medium",TRUE,"Low")</f>
        <v>Low</v>
      </c>
    </row>
    <row r="241" spans="1:18" x14ac:dyDescent="0.3">
      <c r="A241" t="s">
        <v>686</v>
      </c>
      <c r="B241" s="1">
        <v>45277</v>
      </c>
      <c r="C241" t="s">
        <v>687</v>
      </c>
      <c r="D241" t="s">
        <v>688</v>
      </c>
      <c r="E241" t="s">
        <v>31</v>
      </c>
      <c r="F241" t="s">
        <v>32</v>
      </c>
      <c r="G241" t="s">
        <v>361</v>
      </c>
      <c r="H241">
        <v>5</v>
      </c>
      <c r="I241">
        <v>90</v>
      </c>
      <c r="J241">
        <v>25</v>
      </c>
      <c r="K241">
        <v>112.5</v>
      </c>
      <c r="L241">
        <v>337.5</v>
      </c>
      <c r="M241">
        <v>20.21</v>
      </c>
      <c r="N241" t="s">
        <v>21</v>
      </c>
      <c r="O241" t="s">
        <v>35</v>
      </c>
      <c r="P241" t="str">
        <f t="shared" si="6"/>
        <v>Low Value</v>
      </c>
      <c r="Q241" t="str">
        <f t="shared" si="7"/>
        <v>Low</v>
      </c>
      <c r="R241" t="str" cm="1">
        <f t="array" ref="R241">_xlfn.IFS(L241&gt;50000,"Premium",L241&gt;20000,"High",L241&gt;5000,"Medium",TRUE,"Low")</f>
        <v>Low</v>
      </c>
    </row>
    <row r="242" spans="1:18" x14ac:dyDescent="0.3">
      <c r="A242" t="s">
        <v>689</v>
      </c>
      <c r="B242" s="1">
        <v>45291</v>
      </c>
      <c r="C242" t="s">
        <v>89</v>
      </c>
      <c r="D242" t="s">
        <v>690</v>
      </c>
      <c r="E242" t="s">
        <v>48</v>
      </c>
      <c r="F242" t="s">
        <v>49</v>
      </c>
      <c r="G242" t="s">
        <v>603</v>
      </c>
      <c r="H242">
        <v>1</v>
      </c>
      <c r="I242">
        <v>449</v>
      </c>
      <c r="J242">
        <v>10</v>
      </c>
      <c r="K242">
        <v>44.9</v>
      </c>
      <c r="L242">
        <v>404.1</v>
      </c>
      <c r="M242">
        <v>39.9</v>
      </c>
      <c r="N242" t="s">
        <v>41</v>
      </c>
      <c r="O242" t="s">
        <v>35</v>
      </c>
      <c r="P242" t="str">
        <f t="shared" si="6"/>
        <v>Low Value</v>
      </c>
      <c r="Q242" t="str">
        <f t="shared" si="7"/>
        <v>Low</v>
      </c>
      <c r="R242" t="str" cm="1">
        <f t="array" ref="R242">_xlfn.IFS(L242&gt;50000,"Premium",L242&gt;20000,"High",L242&gt;5000,"Medium",TRUE,"Low")</f>
        <v>Low</v>
      </c>
    </row>
    <row r="243" spans="1:18" x14ac:dyDescent="0.3">
      <c r="A243" t="s">
        <v>691</v>
      </c>
      <c r="B243" s="1">
        <v>45279</v>
      </c>
      <c r="C243" t="s">
        <v>692</v>
      </c>
      <c r="D243" t="s">
        <v>596</v>
      </c>
      <c r="E243" t="s">
        <v>31</v>
      </c>
      <c r="F243" t="s">
        <v>60</v>
      </c>
      <c r="G243" t="s">
        <v>291</v>
      </c>
      <c r="H243">
        <v>5</v>
      </c>
      <c r="I243">
        <v>450</v>
      </c>
      <c r="J243">
        <v>25</v>
      </c>
      <c r="K243">
        <v>562.5</v>
      </c>
      <c r="L243">
        <v>1687.5</v>
      </c>
      <c r="M243">
        <v>577.63</v>
      </c>
      <c r="N243" t="s">
        <v>99</v>
      </c>
      <c r="O243" t="s">
        <v>35</v>
      </c>
      <c r="P243" t="str">
        <f t="shared" si="6"/>
        <v>Low Value</v>
      </c>
      <c r="Q243" t="str">
        <f t="shared" si="7"/>
        <v>Low</v>
      </c>
      <c r="R243" t="str" cm="1">
        <f t="array" ref="R243">_xlfn.IFS(L243&gt;50000,"Premium",L243&gt;20000,"High",L243&gt;5000,"Medium",TRUE,"Low")</f>
        <v>Low</v>
      </c>
    </row>
    <row r="244" spans="1:18" x14ac:dyDescent="0.3">
      <c r="A244" t="s">
        <v>693</v>
      </c>
      <c r="B244" s="1">
        <v>45236</v>
      </c>
      <c r="C244" t="s">
        <v>694</v>
      </c>
      <c r="D244" t="s">
        <v>612</v>
      </c>
      <c r="E244" t="s">
        <v>54</v>
      </c>
      <c r="F244" t="s">
        <v>49</v>
      </c>
      <c r="G244" t="s">
        <v>331</v>
      </c>
      <c r="H244">
        <v>5</v>
      </c>
      <c r="I244">
        <v>699</v>
      </c>
      <c r="J244">
        <v>15</v>
      </c>
      <c r="K244">
        <v>524.25</v>
      </c>
      <c r="L244">
        <v>2970.75</v>
      </c>
      <c r="M244">
        <v>1012.06</v>
      </c>
      <c r="N244" t="s">
        <v>41</v>
      </c>
      <c r="O244" t="s">
        <v>35</v>
      </c>
      <c r="P244" t="str">
        <f t="shared" si="6"/>
        <v>Low Value</v>
      </c>
      <c r="Q244" t="str">
        <f t="shared" si="7"/>
        <v>Low</v>
      </c>
      <c r="R244" t="str" cm="1">
        <f t="array" ref="R244">_xlfn.IFS(L244&gt;50000,"Premium",L244&gt;20000,"High",L244&gt;5000,"Medium",TRUE,"Low")</f>
        <v>Low</v>
      </c>
    </row>
    <row r="245" spans="1:18" x14ac:dyDescent="0.3">
      <c r="A245" t="s">
        <v>695</v>
      </c>
      <c r="B245" s="1">
        <v>45109</v>
      </c>
      <c r="C245" t="s">
        <v>645</v>
      </c>
      <c r="D245" t="s">
        <v>486</v>
      </c>
      <c r="E245" t="s">
        <v>78</v>
      </c>
      <c r="F245" t="s">
        <v>74</v>
      </c>
      <c r="G245" t="s">
        <v>75</v>
      </c>
      <c r="H245">
        <v>4</v>
      </c>
      <c r="I245">
        <v>2200</v>
      </c>
      <c r="J245">
        <v>5</v>
      </c>
      <c r="K245">
        <v>440</v>
      </c>
      <c r="L245">
        <v>8360</v>
      </c>
      <c r="M245">
        <v>2122.67</v>
      </c>
      <c r="N245" t="s">
        <v>27</v>
      </c>
      <c r="O245" t="s">
        <v>35</v>
      </c>
      <c r="P245" t="str">
        <f t="shared" si="6"/>
        <v>Low Value</v>
      </c>
      <c r="Q245" t="str">
        <f t="shared" si="7"/>
        <v>Medium</v>
      </c>
      <c r="R245" t="str" cm="1">
        <f t="array" ref="R245">_xlfn.IFS(L245&gt;50000,"Premium",L245&gt;20000,"High",L245&gt;5000,"Medium",TRUE,"Low")</f>
        <v>Medium</v>
      </c>
    </row>
    <row r="246" spans="1:18" x14ac:dyDescent="0.3">
      <c r="A246" t="s">
        <v>696</v>
      </c>
      <c r="B246" s="1">
        <v>44969</v>
      </c>
      <c r="C246" t="s">
        <v>72</v>
      </c>
      <c r="D246" t="s">
        <v>258</v>
      </c>
      <c r="E246" t="s">
        <v>48</v>
      </c>
      <c r="F246" t="s">
        <v>32</v>
      </c>
      <c r="G246" t="s">
        <v>148</v>
      </c>
      <c r="H246">
        <v>4</v>
      </c>
      <c r="I246">
        <v>120</v>
      </c>
      <c r="J246">
        <v>25</v>
      </c>
      <c r="K246">
        <v>120</v>
      </c>
      <c r="L246">
        <v>360</v>
      </c>
      <c r="M246">
        <v>102.66</v>
      </c>
      <c r="N246" t="s">
        <v>99</v>
      </c>
      <c r="O246" t="s">
        <v>35</v>
      </c>
      <c r="P246" t="str">
        <f t="shared" si="6"/>
        <v>Low Value</v>
      </c>
      <c r="Q246" t="str">
        <f t="shared" si="7"/>
        <v>Low</v>
      </c>
      <c r="R246" t="str" cm="1">
        <f t="array" ref="R246">_xlfn.IFS(L246&gt;50000,"Premium",L246&gt;20000,"High",L246&gt;5000,"Medium",TRUE,"Low")</f>
        <v>Low</v>
      </c>
    </row>
    <row r="247" spans="1:18" x14ac:dyDescent="0.3">
      <c r="A247" t="s">
        <v>697</v>
      </c>
      <c r="B247" s="1">
        <v>44929</v>
      </c>
      <c r="C247" t="s">
        <v>698</v>
      </c>
      <c r="D247" t="s">
        <v>73</v>
      </c>
      <c r="E247" t="s">
        <v>54</v>
      </c>
      <c r="F247" t="s">
        <v>32</v>
      </c>
      <c r="G247" t="s">
        <v>259</v>
      </c>
      <c r="H247">
        <v>3</v>
      </c>
      <c r="I247">
        <v>450</v>
      </c>
      <c r="J247">
        <v>10</v>
      </c>
      <c r="K247">
        <v>135</v>
      </c>
      <c r="L247">
        <v>1215</v>
      </c>
      <c r="M247">
        <v>98.01</v>
      </c>
      <c r="N247" t="s">
        <v>21</v>
      </c>
      <c r="O247" t="s">
        <v>95</v>
      </c>
      <c r="P247" t="str">
        <f t="shared" si="6"/>
        <v>Low Value</v>
      </c>
      <c r="Q247" t="str">
        <f t="shared" si="7"/>
        <v>Low</v>
      </c>
      <c r="R247" t="str" cm="1">
        <f t="array" ref="R247">_xlfn.IFS(L247&gt;50000,"Premium",L247&gt;20000,"High",L247&gt;5000,"Medium",TRUE,"Low")</f>
        <v>Low</v>
      </c>
    </row>
    <row r="248" spans="1:18" x14ac:dyDescent="0.3">
      <c r="A248" t="s">
        <v>699</v>
      </c>
      <c r="B248" s="1">
        <v>45189</v>
      </c>
      <c r="C248" t="s">
        <v>407</v>
      </c>
      <c r="D248" t="s">
        <v>284</v>
      </c>
      <c r="E248" t="s">
        <v>48</v>
      </c>
      <c r="F248" t="s">
        <v>39</v>
      </c>
      <c r="G248" t="s">
        <v>40</v>
      </c>
      <c r="H248">
        <v>1</v>
      </c>
      <c r="I248">
        <v>8500</v>
      </c>
      <c r="J248">
        <v>0</v>
      </c>
      <c r="K248">
        <v>0</v>
      </c>
      <c r="L248">
        <v>8500</v>
      </c>
      <c r="M248">
        <v>1327.48</v>
      </c>
      <c r="N248" t="s">
        <v>41</v>
      </c>
      <c r="O248" t="s">
        <v>35</v>
      </c>
      <c r="P248" t="str">
        <f t="shared" si="6"/>
        <v>Low Value</v>
      </c>
      <c r="Q248" t="str">
        <f t="shared" si="7"/>
        <v>Medium</v>
      </c>
      <c r="R248" t="str" cm="1">
        <f t="array" ref="R248">_xlfn.IFS(L248&gt;50000,"Premium",L248&gt;20000,"High",L248&gt;5000,"Medium",TRUE,"Low")</f>
        <v>Medium</v>
      </c>
    </row>
    <row r="249" spans="1:18" x14ac:dyDescent="0.3">
      <c r="A249" t="s">
        <v>700</v>
      </c>
      <c r="B249" s="1">
        <v>45076</v>
      </c>
      <c r="C249" t="s">
        <v>701</v>
      </c>
      <c r="D249" t="s">
        <v>643</v>
      </c>
      <c r="E249" t="s">
        <v>83</v>
      </c>
      <c r="F249" t="s">
        <v>39</v>
      </c>
      <c r="G249" t="s">
        <v>219</v>
      </c>
      <c r="H249">
        <v>1</v>
      </c>
      <c r="I249">
        <v>18000</v>
      </c>
      <c r="J249">
        <v>25</v>
      </c>
      <c r="K249">
        <v>4500</v>
      </c>
      <c r="L249">
        <v>13500</v>
      </c>
      <c r="M249">
        <v>4324.6000000000004</v>
      </c>
      <c r="N249" t="s">
        <v>41</v>
      </c>
      <c r="O249" t="s">
        <v>35</v>
      </c>
      <c r="P249" t="str">
        <f t="shared" si="6"/>
        <v>Low Value</v>
      </c>
      <c r="Q249" t="str">
        <f t="shared" si="7"/>
        <v>Medium</v>
      </c>
      <c r="R249" t="str" cm="1">
        <f t="array" ref="R249">_xlfn.IFS(L249&gt;50000,"Premium",L249&gt;20000,"High",L249&gt;5000,"Medium",TRUE,"Low")</f>
        <v>Medium</v>
      </c>
    </row>
    <row r="250" spans="1:18" x14ac:dyDescent="0.3">
      <c r="A250" t="s">
        <v>702</v>
      </c>
      <c r="B250" s="1">
        <v>44998</v>
      </c>
      <c r="C250" t="s">
        <v>703</v>
      </c>
      <c r="D250" t="s">
        <v>704</v>
      </c>
      <c r="E250" t="s">
        <v>26</v>
      </c>
      <c r="F250" t="s">
        <v>32</v>
      </c>
      <c r="G250" t="s">
        <v>309</v>
      </c>
      <c r="H250">
        <v>3</v>
      </c>
      <c r="I250">
        <v>180</v>
      </c>
      <c r="J250">
        <v>15</v>
      </c>
      <c r="K250">
        <v>81</v>
      </c>
      <c r="L250">
        <v>459</v>
      </c>
      <c r="M250">
        <v>43.05</v>
      </c>
      <c r="N250" t="s">
        <v>34</v>
      </c>
      <c r="O250" t="s">
        <v>22</v>
      </c>
      <c r="P250" t="str">
        <f t="shared" si="6"/>
        <v>Low Value</v>
      </c>
      <c r="Q250" t="str">
        <f t="shared" si="7"/>
        <v>Low</v>
      </c>
      <c r="R250" t="str" cm="1">
        <f t="array" ref="R250">_xlfn.IFS(L250&gt;50000,"Premium",L250&gt;20000,"High",L250&gt;5000,"Medium",TRUE,"Low")</f>
        <v>Low</v>
      </c>
    </row>
    <row r="251" spans="1:18" x14ac:dyDescent="0.3">
      <c r="A251" t="s">
        <v>705</v>
      </c>
      <c r="B251" s="1">
        <v>44966</v>
      </c>
      <c r="C251" t="s">
        <v>706</v>
      </c>
      <c r="D251" t="s">
        <v>707</v>
      </c>
      <c r="E251" t="s">
        <v>54</v>
      </c>
      <c r="F251" t="s">
        <v>32</v>
      </c>
      <c r="G251" t="s">
        <v>309</v>
      </c>
      <c r="H251">
        <v>2</v>
      </c>
      <c r="I251">
        <v>180</v>
      </c>
      <c r="J251">
        <v>25</v>
      </c>
      <c r="K251">
        <v>90</v>
      </c>
      <c r="L251">
        <v>270</v>
      </c>
      <c r="M251">
        <v>64.13</v>
      </c>
      <c r="N251" t="s">
        <v>99</v>
      </c>
      <c r="O251" t="s">
        <v>35</v>
      </c>
      <c r="P251" t="str">
        <f t="shared" si="6"/>
        <v>Low Value</v>
      </c>
      <c r="Q251" t="str">
        <f t="shared" si="7"/>
        <v>Low</v>
      </c>
      <c r="R251" t="str" cm="1">
        <f t="array" ref="R251">_xlfn.IFS(L251&gt;50000,"Premium",L251&gt;20000,"High",L251&gt;5000,"Medium",TRUE,"Low")</f>
        <v>Low</v>
      </c>
    </row>
    <row r="252" spans="1:18" x14ac:dyDescent="0.3">
      <c r="A252" t="s">
        <v>708</v>
      </c>
      <c r="B252" s="1">
        <v>45082</v>
      </c>
      <c r="C252" t="s">
        <v>709</v>
      </c>
      <c r="D252" t="s">
        <v>710</v>
      </c>
      <c r="E252" t="s">
        <v>48</v>
      </c>
      <c r="F252" t="s">
        <v>19</v>
      </c>
      <c r="G252" t="s">
        <v>229</v>
      </c>
      <c r="H252">
        <v>3</v>
      </c>
      <c r="I252">
        <v>8000</v>
      </c>
      <c r="J252">
        <v>20</v>
      </c>
      <c r="K252">
        <v>4800</v>
      </c>
      <c r="L252">
        <v>19200</v>
      </c>
      <c r="M252">
        <v>3148.17</v>
      </c>
      <c r="N252" t="s">
        <v>41</v>
      </c>
      <c r="O252" t="s">
        <v>95</v>
      </c>
      <c r="P252" t="str">
        <f t="shared" si="6"/>
        <v>Low Value</v>
      </c>
      <c r="Q252" t="str">
        <f t="shared" si="7"/>
        <v>Medium</v>
      </c>
      <c r="R252" t="str" cm="1">
        <f t="array" ref="R252">_xlfn.IFS(L252&gt;50000,"Premium",L252&gt;20000,"High",L252&gt;5000,"Medium",TRUE,"Low")</f>
        <v>Medium</v>
      </c>
    </row>
    <row r="253" spans="1:18" x14ac:dyDescent="0.3">
      <c r="A253" t="s">
        <v>711</v>
      </c>
      <c r="B253" s="1">
        <v>44996</v>
      </c>
      <c r="C253" t="s">
        <v>712</v>
      </c>
      <c r="D253" t="s">
        <v>713</v>
      </c>
      <c r="E253" t="s">
        <v>48</v>
      </c>
      <c r="F253" t="s">
        <v>32</v>
      </c>
      <c r="G253" t="s">
        <v>309</v>
      </c>
      <c r="H253">
        <v>5</v>
      </c>
      <c r="I253">
        <v>180</v>
      </c>
      <c r="J253">
        <v>25</v>
      </c>
      <c r="K253">
        <v>225</v>
      </c>
      <c r="L253">
        <v>675</v>
      </c>
      <c r="M253">
        <v>74.42</v>
      </c>
      <c r="N253" t="s">
        <v>34</v>
      </c>
      <c r="O253" t="s">
        <v>22</v>
      </c>
      <c r="P253" t="str">
        <f t="shared" si="6"/>
        <v>Low Value</v>
      </c>
      <c r="Q253" t="str">
        <f t="shared" si="7"/>
        <v>Low</v>
      </c>
      <c r="R253" t="str" cm="1">
        <f t="array" ref="R253">_xlfn.IFS(L253&gt;50000,"Premium",L253&gt;20000,"High",L253&gt;5000,"Medium",TRUE,"Low")</f>
        <v>Low</v>
      </c>
    </row>
    <row r="254" spans="1:18" x14ac:dyDescent="0.3">
      <c r="A254" t="s">
        <v>714</v>
      </c>
      <c r="B254" s="1">
        <v>45221</v>
      </c>
      <c r="C254" t="s">
        <v>387</v>
      </c>
      <c r="D254" t="s">
        <v>715</v>
      </c>
      <c r="E254" t="s">
        <v>18</v>
      </c>
      <c r="F254" t="s">
        <v>49</v>
      </c>
      <c r="G254" t="s">
        <v>94</v>
      </c>
      <c r="H254">
        <v>3</v>
      </c>
      <c r="I254">
        <v>399</v>
      </c>
      <c r="J254">
        <v>15</v>
      </c>
      <c r="K254">
        <v>179.55</v>
      </c>
      <c r="L254">
        <v>1017.45</v>
      </c>
      <c r="M254">
        <v>136.43</v>
      </c>
      <c r="N254" t="s">
        <v>21</v>
      </c>
      <c r="O254" t="s">
        <v>35</v>
      </c>
      <c r="P254" t="str">
        <f t="shared" si="6"/>
        <v>Low Value</v>
      </c>
      <c r="Q254" t="str">
        <f t="shared" si="7"/>
        <v>Low</v>
      </c>
      <c r="R254" t="str" cm="1">
        <f t="array" ref="R254">_xlfn.IFS(L254&gt;50000,"Premium",L254&gt;20000,"High",L254&gt;5000,"Medium",TRUE,"Low")</f>
        <v>Low</v>
      </c>
    </row>
    <row r="255" spans="1:18" x14ac:dyDescent="0.3">
      <c r="A255" t="s">
        <v>716</v>
      </c>
      <c r="B255" s="1">
        <v>45230</v>
      </c>
      <c r="C255" t="s">
        <v>717</v>
      </c>
      <c r="D255" t="s">
        <v>718</v>
      </c>
      <c r="E255" t="s">
        <v>78</v>
      </c>
      <c r="F255" t="s">
        <v>74</v>
      </c>
      <c r="G255" t="s">
        <v>381</v>
      </c>
      <c r="H255">
        <v>5</v>
      </c>
      <c r="I255">
        <v>800</v>
      </c>
      <c r="J255">
        <v>0</v>
      </c>
      <c r="K255">
        <v>0</v>
      </c>
      <c r="L255">
        <v>4000</v>
      </c>
      <c r="M255">
        <v>1343.61</v>
      </c>
      <c r="N255" t="s">
        <v>99</v>
      </c>
      <c r="O255" t="s">
        <v>22</v>
      </c>
      <c r="P255" t="str">
        <f t="shared" si="6"/>
        <v>Low Value</v>
      </c>
      <c r="Q255" t="str">
        <f t="shared" si="7"/>
        <v>Low</v>
      </c>
      <c r="R255" t="str" cm="1">
        <f t="array" ref="R255">_xlfn.IFS(L255&gt;50000,"Premium",L255&gt;20000,"High",L255&gt;5000,"Medium",TRUE,"Low")</f>
        <v>Low</v>
      </c>
    </row>
    <row r="256" spans="1:18" x14ac:dyDescent="0.3">
      <c r="A256" t="s">
        <v>719</v>
      </c>
      <c r="B256" s="1">
        <v>45271</v>
      </c>
      <c r="C256" t="s">
        <v>72</v>
      </c>
      <c r="D256" t="s">
        <v>720</v>
      </c>
      <c r="E256" t="s">
        <v>18</v>
      </c>
      <c r="F256" t="s">
        <v>39</v>
      </c>
      <c r="G256" t="s">
        <v>84</v>
      </c>
      <c r="H256">
        <v>3</v>
      </c>
      <c r="I256">
        <v>6500</v>
      </c>
      <c r="J256">
        <v>5</v>
      </c>
      <c r="K256">
        <v>975</v>
      </c>
      <c r="L256">
        <v>18525</v>
      </c>
      <c r="M256">
        <v>2330.5300000000002</v>
      </c>
      <c r="N256" t="s">
        <v>41</v>
      </c>
      <c r="O256" t="s">
        <v>95</v>
      </c>
      <c r="P256" t="str">
        <f t="shared" si="6"/>
        <v>Low Value</v>
      </c>
      <c r="Q256" t="str">
        <f t="shared" si="7"/>
        <v>Medium</v>
      </c>
      <c r="R256" t="str" cm="1">
        <f t="array" ref="R256">_xlfn.IFS(L256&gt;50000,"Premium",L256&gt;20000,"High",L256&gt;5000,"Medium",TRUE,"Low")</f>
        <v>Medium</v>
      </c>
    </row>
    <row r="257" spans="1:18" x14ac:dyDescent="0.3">
      <c r="A257" t="s">
        <v>721</v>
      </c>
      <c r="B257" s="1">
        <v>45172</v>
      </c>
      <c r="C257" t="s">
        <v>333</v>
      </c>
      <c r="D257" t="s">
        <v>652</v>
      </c>
      <c r="E257" t="s">
        <v>59</v>
      </c>
      <c r="F257" t="s">
        <v>74</v>
      </c>
      <c r="G257" t="s">
        <v>75</v>
      </c>
      <c r="H257">
        <v>5</v>
      </c>
      <c r="I257">
        <v>2200</v>
      </c>
      <c r="J257">
        <v>20</v>
      </c>
      <c r="K257">
        <v>2200</v>
      </c>
      <c r="L257">
        <v>8800</v>
      </c>
      <c r="M257">
        <v>2878.03</v>
      </c>
      <c r="N257" t="s">
        <v>34</v>
      </c>
      <c r="O257" t="s">
        <v>95</v>
      </c>
      <c r="P257" t="str">
        <f t="shared" si="6"/>
        <v>Low Value</v>
      </c>
      <c r="Q257" t="str">
        <f t="shared" si="7"/>
        <v>Medium</v>
      </c>
      <c r="R257" t="str" cm="1">
        <f t="array" ref="R257">_xlfn.IFS(L257&gt;50000,"Premium",L257&gt;20000,"High",L257&gt;5000,"Medium",TRUE,"Low")</f>
        <v>Medium</v>
      </c>
    </row>
    <row r="258" spans="1:18" x14ac:dyDescent="0.3">
      <c r="A258" t="s">
        <v>722</v>
      </c>
      <c r="B258" s="1">
        <v>45231</v>
      </c>
      <c r="C258" t="s">
        <v>723</v>
      </c>
      <c r="D258" t="s">
        <v>546</v>
      </c>
      <c r="E258" t="s">
        <v>59</v>
      </c>
      <c r="F258" t="s">
        <v>60</v>
      </c>
      <c r="G258" t="s">
        <v>291</v>
      </c>
      <c r="H258">
        <v>1</v>
      </c>
      <c r="I258">
        <v>450</v>
      </c>
      <c r="J258">
        <v>5</v>
      </c>
      <c r="K258">
        <v>22.5</v>
      </c>
      <c r="L258">
        <v>427.5</v>
      </c>
      <c r="M258">
        <v>105.71</v>
      </c>
      <c r="N258" t="s">
        <v>21</v>
      </c>
      <c r="O258" t="s">
        <v>22</v>
      </c>
      <c r="P258" t="str">
        <f t="shared" si="6"/>
        <v>Low Value</v>
      </c>
      <c r="Q258" t="str">
        <f t="shared" si="7"/>
        <v>Low</v>
      </c>
      <c r="R258" t="str" cm="1">
        <f t="array" ref="R258">_xlfn.IFS(L258&gt;50000,"Premium",L258&gt;20000,"High",L258&gt;5000,"Medium",TRUE,"Low")</f>
        <v>Low</v>
      </c>
    </row>
    <row r="259" spans="1:18" x14ac:dyDescent="0.3">
      <c r="A259" t="s">
        <v>724</v>
      </c>
      <c r="B259" s="1">
        <v>45096</v>
      </c>
      <c r="C259" t="s">
        <v>725</v>
      </c>
      <c r="D259" t="s">
        <v>726</v>
      </c>
      <c r="E259" t="s">
        <v>31</v>
      </c>
      <c r="F259" t="s">
        <v>49</v>
      </c>
      <c r="G259" t="s">
        <v>603</v>
      </c>
      <c r="H259">
        <v>1</v>
      </c>
      <c r="I259">
        <v>449</v>
      </c>
      <c r="J259">
        <v>0</v>
      </c>
      <c r="K259">
        <v>0</v>
      </c>
      <c r="L259">
        <v>449</v>
      </c>
      <c r="M259">
        <v>35.729999999999997</v>
      </c>
      <c r="N259" t="s">
        <v>41</v>
      </c>
      <c r="O259" t="s">
        <v>35</v>
      </c>
      <c r="P259" t="str">
        <f t="shared" ref="P259:P322" si="8">IF(L259&gt;20000,"High Value","Low Value")</f>
        <v>Low Value</v>
      </c>
      <c r="Q259" t="str">
        <f t="shared" ref="Q259:Q322" si="9">IF(L259&gt;50000,"Premium",IF(L259&gt;20000,"High",IF(L259&gt;5000,"Medium","Low")))</f>
        <v>Low</v>
      </c>
      <c r="R259" t="str" cm="1">
        <f t="array" ref="R259">_xlfn.IFS(L259&gt;50000,"Premium",L259&gt;20000,"High",L259&gt;5000,"Medium",TRUE,"Low")</f>
        <v>Low</v>
      </c>
    </row>
    <row r="260" spans="1:18" x14ac:dyDescent="0.3">
      <c r="A260" t="s">
        <v>727</v>
      </c>
      <c r="B260" s="1">
        <v>45127</v>
      </c>
      <c r="C260" t="s">
        <v>728</v>
      </c>
      <c r="D260" t="s">
        <v>433</v>
      </c>
      <c r="E260" t="s">
        <v>18</v>
      </c>
      <c r="F260" t="s">
        <v>39</v>
      </c>
      <c r="G260" t="s">
        <v>209</v>
      </c>
      <c r="H260">
        <v>5</v>
      </c>
      <c r="I260">
        <v>3200</v>
      </c>
      <c r="J260">
        <v>25</v>
      </c>
      <c r="K260">
        <v>4000</v>
      </c>
      <c r="L260">
        <v>12000</v>
      </c>
      <c r="M260">
        <v>2401.6799999999998</v>
      </c>
      <c r="N260" t="s">
        <v>34</v>
      </c>
      <c r="O260" t="s">
        <v>22</v>
      </c>
      <c r="P260" t="str">
        <f t="shared" si="8"/>
        <v>Low Value</v>
      </c>
      <c r="Q260" t="str">
        <f t="shared" si="9"/>
        <v>Medium</v>
      </c>
      <c r="R260" t="str" cm="1">
        <f t="array" ref="R260">_xlfn.IFS(L260&gt;50000,"Premium",L260&gt;20000,"High",L260&gt;5000,"Medium",TRUE,"Low")</f>
        <v>Medium</v>
      </c>
    </row>
    <row r="261" spans="1:18" x14ac:dyDescent="0.3">
      <c r="A261" t="s">
        <v>729</v>
      </c>
      <c r="B261" s="1">
        <v>44970</v>
      </c>
      <c r="C261" t="s">
        <v>730</v>
      </c>
      <c r="D261" t="s">
        <v>191</v>
      </c>
      <c r="E261" t="s">
        <v>54</v>
      </c>
      <c r="F261" t="s">
        <v>19</v>
      </c>
      <c r="G261" t="s">
        <v>107</v>
      </c>
      <c r="H261">
        <v>2</v>
      </c>
      <c r="I261">
        <v>4500</v>
      </c>
      <c r="J261">
        <v>10</v>
      </c>
      <c r="K261">
        <v>900</v>
      </c>
      <c r="L261">
        <v>8100</v>
      </c>
      <c r="M261">
        <v>1162.8900000000001</v>
      </c>
      <c r="N261" t="s">
        <v>34</v>
      </c>
      <c r="O261" t="s">
        <v>22</v>
      </c>
      <c r="P261" t="str">
        <f t="shared" si="8"/>
        <v>Low Value</v>
      </c>
      <c r="Q261" t="str">
        <f t="shared" si="9"/>
        <v>Medium</v>
      </c>
      <c r="R261" t="str" cm="1">
        <f t="array" ref="R261">_xlfn.IFS(L261&gt;50000,"Premium",L261&gt;20000,"High",L261&gt;5000,"Medium",TRUE,"Low")</f>
        <v>Medium</v>
      </c>
    </row>
    <row r="262" spans="1:18" x14ac:dyDescent="0.3">
      <c r="A262" t="s">
        <v>731</v>
      </c>
      <c r="B262" s="1">
        <v>44976</v>
      </c>
      <c r="C262" t="s">
        <v>507</v>
      </c>
      <c r="D262" t="s">
        <v>526</v>
      </c>
      <c r="E262" t="s">
        <v>48</v>
      </c>
      <c r="F262" t="s">
        <v>39</v>
      </c>
      <c r="G262" t="s">
        <v>213</v>
      </c>
      <c r="H262">
        <v>4</v>
      </c>
      <c r="I262">
        <v>15000</v>
      </c>
      <c r="J262">
        <v>10</v>
      </c>
      <c r="K262">
        <v>6000</v>
      </c>
      <c r="L262">
        <v>54000</v>
      </c>
      <c r="M262">
        <v>3788.22</v>
      </c>
      <c r="N262" t="s">
        <v>99</v>
      </c>
      <c r="O262" t="s">
        <v>35</v>
      </c>
      <c r="P262" t="str">
        <f t="shared" si="8"/>
        <v>High Value</v>
      </c>
      <c r="Q262" t="str">
        <f t="shared" si="9"/>
        <v>Premium</v>
      </c>
      <c r="R262" t="str" cm="1">
        <f t="array" ref="R262">_xlfn.IFS(L262&gt;50000,"Premium",L262&gt;20000,"High",L262&gt;5000,"Medium",TRUE,"Low")</f>
        <v>Premium</v>
      </c>
    </row>
    <row r="263" spans="1:18" x14ac:dyDescent="0.3">
      <c r="A263" t="s">
        <v>732</v>
      </c>
      <c r="B263" s="1">
        <v>45051</v>
      </c>
      <c r="C263" t="s">
        <v>733</v>
      </c>
      <c r="D263" t="s">
        <v>478</v>
      </c>
      <c r="E263" t="s">
        <v>26</v>
      </c>
      <c r="F263" t="s">
        <v>74</v>
      </c>
      <c r="G263" t="s">
        <v>381</v>
      </c>
      <c r="H263">
        <v>5</v>
      </c>
      <c r="I263">
        <v>800</v>
      </c>
      <c r="J263">
        <v>5</v>
      </c>
      <c r="K263">
        <v>200</v>
      </c>
      <c r="L263">
        <v>3800</v>
      </c>
      <c r="M263">
        <v>567.33000000000004</v>
      </c>
      <c r="N263" t="s">
        <v>27</v>
      </c>
      <c r="O263" t="s">
        <v>35</v>
      </c>
      <c r="P263" t="str">
        <f t="shared" si="8"/>
        <v>Low Value</v>
      </c>
      <c r="Q263" t="str">
        <f t="shared" si="9"/>
        <v>Low</v>
      </c>
      <c r="R263" t="str" cm="1">
        <f t="array" ref="R263">_xlfn.IFS(L263&gt;50000,"Premium",L263&gt;20000,"High",L263&gt;5000,"Medium",TRUE,"Low")</f>
        <v>Low</v>
      </c>
    </row>
    <row r="264" spans="1:18" x14ac:dyDescent="0.3">
      <c r="A264" t="s">
        <v>734</v>
      </c>
      <c r="B264" s="1">
        <v>45254</v>
      </c>
      <c r="C264" t="s">
        <v>163</v>
      </c>
      <c r="D264" t="s">
        <v>718</v>
      </c>
      <c r="E264" t="s">
        <v>26</v>
      </c>
      <c r="F264" t="s">
        <v>60</v>
      </c>
      <c r="G264" t="s">
        <v>365</v>
      </c>
      <c r="H264">
        <v>4</v>
      </c>
      <c r="I264">
        <v>650</v>
      </c>
      <c r="J264">
        <v>0</v>
      </c>
      <c r="K264">
        <v>0</v>
      </c>
      <c r="L264">
        <v>2600</v>
      </c>
      <c r="M264">
        <v>705.16</v>
      </c>
      <c r="N264" t="s">
        <v>41</v>
      </c>
      <c r="O264" t="s">
        <v>35</v>
      </c>
      <c r="P264" t="str">
        <f t="shared" si="8"/>
        <v>Low Value</v>
      </c>
      <c r="Q264" t="str">
        <f t="shared" si="9"/>
        <v>Low</v>
      </c>
      <c r="R264" t="str" cm="1">
        <f t="array" ref="R264">_xlfn.IFS(L264&gt;50000,"Premium",L264&gt;20000,"High",L264&gt;5000,"Medium",TRUE,"Low")</f>
        <v>Low</v>
      </c>
    </row>
    <row r="265" spans="1:18" x14ac:dyDescent="0.3">
      <c r="A265" t="s">
        <v>735</v>
      </c>
      <c r="B265" s="1">
        <v>45287</v>
      </c>
      <c r="C265" t="s">
        <v>736</v>
      </c>
      <c r="D265" t="s">
        <v>737</v>
      </c>
      <c r="E265" t="s">
        <v>83</v>
      </c>
      <c r="F265" t="s">
        <v>69</v>
      </c>
      <c r="G265" t="s">
        <v>202</v>
      </c>
      <c r="H265">
        <v>3</v>
      </c>
      <c r="I265">
        <v>1299</v>
      </c>
      <c r="J265">
        <v>25</v>
      </c>
      <c r="K265">
        <v>974.25</v>
      </c>
      <c r="L265">
        <v>2922.75</v>
      </c>
      <c r="M265">
        <v>855.25</v>
      </c>
      <c r="N265" t="s">
        <v>34</v>
      </c>
      <c r="O265" t="s">
        <v>35</v>
      </c>
      <c r="P265" t="str">
        <f t="shared" si="8"/>
        <v>Low Value</v>
      </c>
      <c r="Q265" t="str">
        <f t="shared" si="9"/>
        <v>Low</v>
      </c>
      <c r="R265" t="str" cm="1">
        <f t="array" ref="R265">_xlfn.IFS(L265&gt;50000,"Premium",L265&gt;20000,"High",L265&gt;5000,"Medium",TRUE,"Low")</f>
        <v>Low</v>
      </c>
    </row>
    <row r="266" spans="1:18" x14ac:dyDescent="0.3">
      <c r="A266" t="s">
        <v>738</v>
      </c>
      <c r="B266" s="1">
        <v>45027</v>
      </c>
      <c r="C266" t="s">
        <v>621</v>
      </c>
      <c r="D266" t="s">
        <v>182</v>
      </c>
      <c r="E266" t="s">
        <v>26</v>
      </c>
      <c r="F266" t="s">
        <v>39</v>
      </c>
      <c r="G266" t="s">
        <v>40</v>
      </c>
      <c r="H266">
        <v>3</v>
      </c>
      <c r="I266">
        <v>8500</v>
      </c>
      <c r="J266">
        <v>25</v>
      </c>
      <c r="K266">
        <v>6375</v>
      </c>
      <c r="L266">
        <v>19125</v>
      </c>
      <c r="M266">
        <v>5905.63</v>
      </c>
      <c r="N266" t="s">
        <v>21</v>
      </c>
      <c r="O266" t="s">
        <v>22</v>
      </c>
      <c r="P266" t="str">
        <f t="shared" si="8"/>
        <v>Low Value</v>
      </c>
      <c r="Q266" t="str">
        <f t="shared" si="9"/>
        <v>Medium</v>
      </c>
      <c r="R266" t="str" cm="1">
        <f t="array" ref="R266">_xlfn.IFS(L266&gt;50000,"Premium",L266&gt;20000,"High",L266&gt;5000,"Medium",TRUE,"Low")</f>
        <v>Medium</v>
      </c>
    </row>
    <row r="267" spans="1:18" x14ac:dyDescent="0.3">
      <c r="A267" t="s">
        <v>739</v>
      </c>
      <c r="B267" s="1">
        <v>45227</v>
      </c>
      <c r="C267" t="s">
        <v>740</v>
      </c>
      <c r="D267" t="s">
        <v>741</v>
      </c>
      <c r="E267" t="s">
        <v>18</v>
      </c>
      <c r="F267" t="s">
        <v>19</v>
      </c>
      <c r="G267" t="s">
        <v>103</v>
      </c>
      <c r="H267">
        <v>3</v>
      </c>
      <c r="I267">
        <v>3500</v>
      </c>
      <c r="J267">
        <v>15</v>
      </c>
      <c r="K267">
        <v>1575</v>
      </c>
      <c r="L267">
        <v>8925</v>
      </c>
      <c r="M267">
        <v>2099.2399999999998</v>
      </c>
      <c r="N267" t="s">
        <v>27</v>
      </c>
      <c r="O267" t="s">
        <v>35</v>
      </c>
      <c r="P267" t="str">
        <f t="shared" si="8"/>
        <v>Low Value</v>
      </c>
      <c r="Q267" t="str">
        <f t="shared" si="9"/>
        <v>Medium</v>
      </c>
      <c r="R267" t="str" cm="1">
        <f t="array" ref="R267">_xlfn.IFS(L267&gt;50000,"Premium",L267&gt;20000,"High",L267&gt;5000,"Medium",TRUE,"Low")</f>
        <v>Medium</v>
      </c>
    </row>
    <row r="268" spans="1:18" x14ac:dyDescent="0.3">
      <c r="A268" t="s">
        <v>742</v>
      </c>
      <c r="B268" s="1">
        <v>44987</v>
      </c>
      <c r="C268" t="s">
        <v>743</v>
      </c>
      <c r="D268" t="s">
        <v>744</v>
      </c>
      <c r="E268" t="s">
        <v>26</v>
      </c>
      <c r="F268" t="s">
        <v>69</v>
      </c>
      <c r="G268" t="s">
        <v>275</v>
      </c>
      <c r="H268">
        <v>1</v>
      </c>
      <c r="I268">
        <v>799</v>
      </c>
      <c r="J268">
        <v>5</v>
      </c>
      <c r="K268">
        <v>39.950000000000003</v>
      </c>
      <c r="L268">
        <v>759.05</v>
      </c>
      <c r="M268">
        <v>122.96</v>
      </c>
      <c r="N268" t="s">
        <v>21</v>
      </c>
      <c r="O268" t="s">
        <v>35</v>
      </c>
      <c r="P268" t="str">
        <f t="shared" si="8"/>
        <v>Low Value</v>
      </c>
      <c r="Q268" t="str">
        <f t="shared" si="9"/>
        <v>Low</v>
      </c>
      <c r="R268" t="str" cm="1">
        <f t="array" ref="R268">_xlfn.IFS(L268&gt;50000,"Premium",L268&gt;20000,"High",L268&gt;5000,"Medium",TRUE,"Low")</f>
        <v>Low</v>
      </c>
    </row>
    <row r="269" spans="1:18" x14ac:dyDescent="0.3">
      <c r="A269" t="s">
        <v>745</v>
      </c>
      <c r="B269" s="1">
        <v>45221</v>
      </c>
      <c r="C269" t="s">
        <v>307</v>
      </c>
      <c r="D269" t="s">
        <v>87</v>
      </c>
      <c r="E269" t="s">
        <v>83</v>
      </c>
      <c r="F269" t="s">
        <v>39</v>
      </c>
      <c r="G269" t="s">
        <v>219</v>
      </c>
      <c r="H269">
        <v>2</v>
      </c>
      <c r="I269">
        <v>18000</v>
      </c>
      <c r="J269">
        <v>15</v>
      </c>
      <c r="K269">
        <v>5400</v>
      </c>
      <c r="L269">
        <v>30600</v>
      </c>
      <c r="M269">
        <v>7363.91</v>
      </c>
      <c r="N269" t="s">
        <v>41</v>
      </c>
      <c r="O269" t="s">
        <v>35</v>
      </c>
      <c r="P269" t="str">
        <f t="shared" si="8"/>
        <v>High Value</v>
      </c>
      <c r="Q269" t="str">
        <f t="shared" si="9"/>
        <v>High</v>
      </c>
      <c r="R269" t="str" cm="1">
        <f t="array" ref="R269">_xlfn.IFS(L269&gt;50000,"Premium",L269&gt;20000,"High",L269&gt;5000,"Medium",TRUE,"Low")</f>
        <v>High</v>
      </c>
    </row>
    <row r="270" spans="1:18" x14ac:dyDescent="0.3">
      <c r="A270" t="s">
        <v>746</v>
      </c>
      <c r="B270" s="1">
        <v>44998</v>
      </c>
      <c r="C270" t="s">
        <v>747</v>
      </c>
      <c r="D270" t="s">
        <v>433</v>
      </c>
      <c r="E270" t="s">
        <v>83</v>
      </c>
      <c r="F270" t="s">
        <v>69</v>
      </c>
      <c r="G270" t="s">
        <v>275</v>
      </c>
      <c r="H270">
        <v>4</v>
      </c>
      <c r="I270">
        <v>799</v>
      </c>
      <c r="J270">
        <v>20</v>
      </c>
      <c r="K270">
        <v>639.20000000000005</v>
      </c>
      <c r="L270">
        <v>2556.8000000000002</v>
      </c>
      <c r="M270">
        <v>168.96</v>
      </c>
      <c r="N270" t="s">
        <v>27</v>
      </c>
      <c r="O270" t="s">
        <v>22</v>
      </c>
      <c r="P270" t="str">
        <f t="shared" si="8"/>
        <v>Low Value</v>
      </c>
      <c r="Q270" t="str">
        <f t="shared" si="9"/>
        <v>Low</v>
      </c>
      <c r="R270" t="str" cm="1">
        <f t="array" ref="R270">_xlfn.IFS(L270&gt;50000,"Premium",L270&gt;20000,"High",L270&gt;5000,"Medium",TRUE,"Low")</f>
        <v>Low</v>
      </c>
    </row>
    <row r="271" spans="1:18" x14ac:dyDescent="0.3">
      <c r="A271" t="s">
        <v>748</v>
      </c>
      <c r="B271" s="1">
        <v>45214</v>
      </c>
      <c r="C271" t="s">
        <v>749</v>
      </c>
      <c r="D271" t="s">
        <v>750</v>
      </c>
      <c r="E271" t="s">
        <v>83</v>
      </c>
      <c r="F271" t="s">
        <v>74</v>
      </c>
      <c r="G271" t="s">
        <v>192</v>
      </c>
      <c r="H271">
        <v>4</v>
      </c>
      <c r="I271">
        <v>12000</v>
      </c>
      <c r="J271">
        <v>15</v>
      </c>
      <c r="K271">
        <v>7200</v>
      </c>
      <c r="L271">
        <v>40800</v>
      </c>
      <c r="M271">
        <v>10420.69</v>
      </c>
      <c r="N271" t="s">
        <v>99</v>
      </c>
      <c r="O271" t="s">
        <v>95</v>
      </c>
      <c r="P271" t="str">
        <f t="shared" si="8"/>
        <v>High Value</v>
      </c>
      <c r="Q271" t="str">
        <f t="shared" si="9"/>
        <v>High</v>
      </c>
      <c r="R271" t="str" cm="1">
        <f t="array" ref="R271">_xlfn.IFS(L271&gt;50000,"Premium",L271&gt;20000,"High",L271&gt;5000,"Medium",TRUE,"Low")</f>
        <v>High</v>
      </c>
    </row>
    <row r="272" spans="1:18" x14ac:dyDescent="0.3">
      <c r="A272" t="s">
        <v>751</v>
      </c>
      <c r="B272" s="1">
        <v>44942</v>
      </c>
      <c r="C272" t="s">
        <v>752</v>
      </c>
      <c r="D272" t="s">
        <v>676</v>
      </c>
      <c r="E272" t="s">
        <v>83</v>
      </c>
      <c r="F272" t="s">
        <v>49</v>
      </c>
      <c r="G272" t="s">
        <v>753</v>
      </c>
      <c r="H272">
        <v>2</v>
      </c>
      <c r="I272">
        <v>299</v>
      </c>
      <c r="J272">
        <v>10</v>
      </c>
      <c r="K272">
        <v>59.8</v>
      </c>
      <c r="L272">
        <v>538.20000000000005</v>
      </c>
      <c r="M272">
        <v>32.19</v>
      </c>
      <c r="N272" t="s">
        <v>41</v>
      </c>
      <c r="O272" t="s">
        <v>95</v>
      </c>
      <c r="P272" t="str">
        <f t="shared" si="8"/>
        <v>Low Value</v>
      </c>
      <c r="Q272" t="str">
        <f t="shared" si="9"/>
        <v>Low</v>
      </c>
      <c r="R272" t="str" cm="1">
        <f t="array" ref="R272">_xlfn.IFS(L272&gt;50000,"Premium",L272&gt;20000,"High",L272&gt;5000,"Medium",TRUE,"Low")</f>
        <v>Low</v>
      </c>
    </row>
    <row r="273" spans="1:18" x14ac:dyDescent="0.3">
      <c r="A273" t="s">
        <v>754</v>
      </c>
      <c r="B273" s="1">
        <v>45180</v>
      </c>
      <c r="C273" t="s">
        <v>755</v>
      </c>
      <c r="D273" t="s">
        <v>756</v>
      </c>
      <c r="E273" t="s">
        <v>59</v>
      </c>
      <c r="F273" t="s">
        <v>74</v>
      </c>
      <c r="G273" t="s">
        <v>144</v>
      </c>
      <c r="H273">
        <v>1</v>
      </c>
      <c r="I273">
        <v>1500</v>
      </c>
      <c r="J273">
        <v>20</v>
      </c>
      <c r="K273">
        <v>300</v>
      </c>
      <c r="L273">
        <v>1200</v>
      </c>
      <c r="M273">
        <v>101.11</v>
      </c>
      <c r="N273" t="s">
        <v>41</v>
      </c>
      <c r="O273" t="s">
        <v>95</v>
      </c>
      <c r="P273" t="str">
        <f t="shared" si="8"/>
        <v>Low Value</v>
      </c>
      <c r="Q273" t="str">
        <f t="shared" si="9"/>
        <v>Low</v>
      </c>
      <c r="R273" t="str" cm="1">
        <f t="array" ref="R273">_xlfn.IFS(L273&gt;50000,"Premium",L273&gt;20000,"High",L273&gt;5000,"Medium",TRUE,"Low")</f>
        <v>Low</v>
      </c>
    </row>
    <row r="274" spans="1:18" x14ac:dyDescent="0.3">
      <c r="A274" t="s">
        <v>757</v>
      </c>
      <c r="B274" s="1">
        <v>45038</v>
      </c>
      <c r="C274" t="s">
        <v>758</v>
      </c>
      <c r="D274" t="s">
        <v>759</v>
      </c>
      <c r="E274" t="s">
        <v>48</v>
      </c>
      <c r="F274" t="s">
        <v>39</v>
      </c>
      <c r="G274" t="s">
        <v>40</v>
      </c>
      <c r="H274">
        <v>2</v>
      </c>
      <c r="I274">
        <v>8500</v>
      </c>
      <c r="J274">
        <v>10</v>
      </c>
      <c r="K274">
        <v>1700</v>
      </c>
      <c r="L274">
        <v>15300</v>
      </c>
      <c r="M274">
        <v>4780.38</v>
      </c>
      <c r="N274" t="s">
        <v>99</v>
      </c>
      <c r="O274" t="s">
        <v>22</v>
      </c>
      <c r="P274" t="str">
        <f t="shared" si="8"/>
        <v>Low Value</v>
      </c>
      <c r="Q274" t="str">
        <f t="shared" si="9"/>
        <v>Medium</v>
      </c>
      <c r="R274" t="str" cm="1">
        <f t="array" ref="R274">_xlfn.IFS(L274&gt;50000,"Premium",L274&gt;20000,"High",L274&gt;5000,"Medium",TRUE,"Low")</f>
        <v>Medium</v>
      </c>
    </row>
    <row r="275" spans="1:18" x14ac:dyDescent="0.3">
      <c r="A275" t="s">
        <v>760</v>
      </c>
      <c r="B275" s="1">
        <v>44987</v>
      </c>
      <c r="C275" t="s">
        <v>101</v>
      </c>
      <c r="D275" t="s">
        <v>761</v>
      </c>
      <c r="E275" t="s">
        <v>26</v>
      </c>
      <c r="F275" t="s">
        <v>49</v>
      </c>
      <c r="G275" t="s">
        <v>753</v>
      </c>
      <c r="H275">
        <v>2</v>
      </c>
      <c r="I275">
        <v>299</v>
      </c>
      <c r="J275">
        <v>5</v>
      </c>
      <c r="K275">
        <v>29.9</v>
      </c>
      <c r="L275">
        <v>568.1</v>
      </c>
      <c r="M275">
        <v>166.57</v>
      </c>
      <c r="N275" t="s">
        <v>27</v>
      </c>
      <c r="O275" t="s">
        <v>95</v>
      </c>
      <c r="P275" t="str">
        <f t="shared" si="8"/>
        <v>Low Value</v>
      </c>
      <c r="Q275" t="str">
        <f t="shared" si="9"/>
        <v>Low</v>
      </c>
      <c r="R275" t="str" cm="1">
        <f t="array" ref="R275">_xlfn.IFS(L275&gt;50000,"Premium",L275&gt;20000,"High",L275&gt;5000,"Medium",TRUE,"Low")</f>
        <v>Low</v>
      </c>
    </row>
    <row r="276" spans="1:18" x14ac:dyDescent="0.3">
      <c r="A276" t="s">
        <v>762</v>
      </c>
      <c r="B276" s="1">
        <v>44998</v>
      </c>
      <c r="C276" t="s">
        <v>763</v>
      </c>
      <c r="D276" t="s">
        <v>764</v>
      </c>
      <c r="E276" t="s">
        <v>83</v>
      </c>
      <c r="F276" t="s">
        <v>49</v>
      </c>
      <c r="G276" t="s">
        <v>94</v>
      </c>
      <c r="H276">
        <v>2</v>
      </c>
      <c r="I276">
        <v>399</v>
      </c>
      <c r="J276">
        <v>0</v>
      </c>
      <c r="K276">
        <v>0</v>
      </c>
      <c r="L276">
        <v>798</v>
      </c>
      <c r="M276">
        <v>176.38</v>
      </c>
      <c r="N276" t="s">
        <v>34</v>
      </c>
      <c r="O276" t="s">
        <v>35</v>
      </c>
      <c r="P276" t="str">
        <f t="shared" si="8"/>
        <v>Low Value</v>
      </c>
      <c r="Q276" t="str">
        <f t="shared" si="9"/>
        <v>Low</v>
      </c>
      <c r="R276" t="str" cm="1">
        <f t="array" ref="R276">_xlfn.IFS(L276&gt;50000,"Premium",L276&gt;20000,"High",L276&gt;5000,"Medium",TRUE,"Low")</f>
        <v>Low</v>
      </c>
    </row>
    <row r="277" spans="1:18" x14ac:dyDescent="0.3">
      <c r="A277" t="s">
        <v>765</v>
      </c>
      <c r="B277" s="1">
        <v>45075</v>
      </c>
      <c r="C277" t="s">
        <v>766</v>
      </c>
      <c r="D277" t="s">
        <v>767</v>
      </c>
      <c r="E277" t="s">
        <v>78</v>
      </c>
      <c r="F277" t="s">
        <v>74</v>
      </c>
      <c r="G277" t="s">
        <v>341</v>
      </c>
      <c r="H277">
        <v>5</v>
      </c>
      <c r="I277">
        <v>700</v>
      </c>
      <c r="J277">
        <v>25</v>
      </c>
      <c r="K277">
        <v>875</v>
      </c>
      <c r="L277">
        <v>2625</v>
      </c>
      <c r="M277">
        <v>773.2</v>
      </c>
      <c r="N277" t="s">
        <v>27</v>
      </c>
      <c r="O277" t="s">
        <v>35</v>
      </c>
      <c r="P277" t="str">
        <f t="shared" si="8"/>
        <v>Low Value</v>
      </c>
      <c r="Q277" t="str">
        <f t="shared" si="9"/>
        <v>Low</v>
      </c>
      <c r="R277" t="str" cm="1">
        <f t="array" ref="R277">_xlfn.IFS(L277&gt;50000,"Premium",L277&gt;20000,"High",L277&gt;5000,"Medium",TRUE,"Low")</f>
        <v>Low</v>
      </c>
    </row>
    <row r="278" spans="1:18" x14ac:dyDescent="0.3">
      <c r="A278" t="s">
        <v>768</v>
      </c>
      <c r="B278" s="1">
        <v>45054</v>
      </c>
      <c r="C278" t="s">
        <v>769</v>
      </c>
      <c r="D278" t="s">
        <v>358</v>
      </c>
      <c r="E278" t="s">
        <v>83</v>
      </c>
      <c r="F278" t="s">
        <v>69</v>
      </c>
      <c r="G278" t="s">
        <v>70</v>
      </c>
      <c r="H278">
        <v>3</v>
      </c>
      <c r="I278">
        <v>2499</v>
      </c>
      <c r="J278">
        <v>5</v>
      </c>
      <c r="K278">
        <v>374.85</v>
      </c>
      <c r="L278">
        <v>7122.15</v>
      </c>
      <c r="M278">
        <v>1983.11</v>
      </c>
      <c r="N278" t="s">
        <v>21</v>
      </c>
      <c r="O278" t="s">
        <v>35</v>
      </c>
      <c r="P278" t="str">
        <f t="shared" si="8"/>
        <v>Low Value</v>
      </c>
      <c r="Q278" t="str">
        <f t="shared" si="9"/>
        <v>Medium</v>
      </c>
      <c r="R278" t="str" cm="1">
        <f t="array" ref="R278">_xlfn.IFS(L278&gt;50000,"Premium",L278&gt;20000,"High",L278&gt;5000,"Medium",TRUE,"Low")</f>
        <v>Medium</v>
      </c>
    </row>
    <row r="279" spans="1:18" x14ac:dyDescent="0.3">
      <c r="A279" t="s">
        <v>770</v>
      </c>
      <c r="B279" s="1">
        <v>45248</v>
      </c>
      <c r="C279" t="s">
        <v>261</v>
      </c>
      <c r="D279" t="s">
        <v>771</v>
      </c>
      <c r="E279" t="s">
        <v>78</v>
      </c>
      <c r="F279" t="s">
        <v>39</v>
      </c>
      <c r="G279" t="s">
        <v>219</v>
      </c>
      <c r="H279">
        <v>4</v>
      </c>
      <c r="I279">
        <v>18000</v>
      </c>
      <c r="J279">
        <v>0</v>
      </c>
      <c r="K279">
        <v>0</v>
      </c>
      <c r="L279">
        <v>72000</v>
      </c>
      <c r="M279">
        <v>17286.36</v>
      </c>
      <c r="N279" t="s">
        <v>34</v>
      </c>
      <c r="O279" t="s">
        <v>22</v>
      </c>
      <c r="P279" t="str">
        <f t="shared" si="8"/>
        <v>High Value</v>
      </c>
      <c r="Q279" t="str">
        <f t="shared" si="9"/>
        <v>Premium</v>
      </c>
      <c r="R279" t="str" cm="1">
        <f t="array" ref="R279">_xlfn.IFS(L279&gt;50000,"Premium",L279&gt;20000,"High",L279&gt;5000,"Medium",TRUE,"Low")</f>
        <v>Premium</v>
      </c>
    </row>
    <row r="280" spans="1:18" x14ac:dyDescent="0.3">
      <c r="A280" t="s">
        <v>772</v>
      </c>
      <c r="B280" s="1">
        <v>45176</v>
      </c>
      <c r="C280" t="s">
        <v>773</v>
      </c>
      <c r="D280" t="s">
        <v>171</v>
      </c>
      <c r="E280" t="s">
        <v>18</v>
      </c>
      <c r="F280" t="s">
        <v>32</v>
      </c>
      <c r="G280" t="s">
        <v>361</v>
      </c>
      <c r="H280">
        <v>1</v>
      </c>
      <c r="I280">
        <v>90</v>
      </c>
      <c r="J280">
        <v>25</v>
      </c>
      <c r="K280">
        <v>22.5</v>
      </c>
      <c r="L280">
        <v>67.5</v>
      </c>
      <c r="M280">
        <v>5.26</v>
      </c>
      <c r="N280" t="s">
        <v>21</v>
      </c>
      <c r="O280" t="s">
        <v>22</v>
      </c>
      <c r="P280" t="str">
        <f t="shared" si="8"/>
        <v>Low Value</v>
      </c>
      <c r="Q280" t="str">
        <f t="shared" si="9"/>
        <v>Low</v>
      </c>
      <c r="R280" t="str" cm="1">
        <f t="array" ref="R280">_xlfn.IFS(L280&gt;50000,"Premium",L280&gt;20000,"High",L280&gt;5000,"Medium",TRUE,"Low")</f>
        <v>Low</v>
      </c>
    </row>
    <row r="281" spans="1:18" x14ac:dyDescent="0.3">
      <c r="A281" t="s">
        <v>774</v>
      </c>
      <c r="B281" s="1">
        <v>45038</v>
      </c>
      <c r="C281" t="s">
        <v>153</v>
      </c>
      <c r="D281" t="s">
        <v>775</v>
      </c>
      <c r="E281" t="s">
        <v>83</v>
      </c>
      <c r="F281" t="s">
        <v>39</v>
      </c>
      <c r="G281" t="s">
        <v>209</v>
      </c>
      <c r="H281">
        <v>2</v>
      </c>
      <c r="I281">
        <v>3200</v>
      </c>
      <c r="J281">
        <v>15</v>
      </c>
      <c r="K281">
        <v>960</v>
      </c>
      <c r="L281">
        <v>5440</v>
      </c>
      <c r="M281">
        <v>710.25</v>
      </c>
      <c r="N281" t="s">
        <v>21</v>
      </c>
      <c r="O281" t="s">
        <v>22</v>
      </c>
      <c r="P281" t="str">
        <f t="shared" si="8"/>
        <v>Low Value</v>
      </c>
      <c r="Q281" t="str">
        <f t="shared" si="9"/>
        <v>Medium</v>
      </c>
      <c r="R281" t="str" cm="1">
        <f t="array" ref="R281">_xlfn.IFS(L281&gt;50000,"Premium",L281&gt;20000,"High",L281&gt;5000,"Medium",TRUE,"Low")</f>
        <v>Medium</v>
      </c>
    </row>
    <row r="282" spans="1:18" x14ac:dyDescent="0.3">
      <c r="A282" t="s">
        <v>776</v>
      </c>
      <c r="B282" s="1">
        <v>45102</v>
      </c>
      <c r="C282" t="s">
        <v>777</v>
      </c>
      <c r="D282" t="s">
        <v>340</v>
      </c>
      <c r="E282" t="s">
        <v>18</v>
      </c>
      <c r="F282" t="s">
        <v>60</v>
      </c>
      <c r="G282" t="s">
        <v>349</v>
      </c>
      <c r="H282">
        <v>1</v>
      </c>
      <c r="I282">
        <v>250</v>
      </c>
      <c r="J282">
        <v>0</v>
      </c>
      <c r="K282">
        <v>0</v>
      </c>
      <c r="L282">
        <v>250</v>
      </c>
      <c r="M282">
        <v>19.97</v>
      </c>
      <c r="N282" t="s">
        <v>27</v>
      </c>
      <c r="O282" t="s">
        <v>22</v>
      </c>
      <c r="P282" t="str">
        <f t="shared" si="8"/>
        <v>Low Value</v>
      </c>
      <c r="Q282" t="str">
        <f t="shared" si="9"/>
        <v>Low</v>
      </c>
      <c r="R282" t="str" cm="1">
        <f t="array" ref="R282">_xlfn.IFS(L282&gt;50000,"Premium",L282&gt;20000,"High",L282&gt;5000,"Medium",TRUE,"Low")</f>
        <v>Low</v>
      </c>
    </row>
    <row r="283" spans="1:18" x14ac:dyDescent="0.3">
      <c r="A283" t="s">
        <v>778</v>
      </c>
      <c r="B283" s="1">
        <v>45160</v>
      </c>
      <c r="C283" t="s">
        <v>779</v>
      </c>
      <c r="D283" t="s">
        <v>780</v>
      </c>
      <c r="E283" t="s">
        <v>78</v>
      </c>
      <c r="F283" t="s">
        <v>19</v>
      </c>
      <c r="G283" t="s">
        <v>229</v>
      </c>
      <c r="H283">
        <v>2</v>
      </c>
      <c r="I283">
        <v>8000</v>
      </c>
      <c r="J283">
        <v>25</v>
      </c>
      <c r="K283">
        <v>4000</v>
      </c>
      <c r="L283">
        <v>12000</v>
      </c>
      <c r="M283">
        <v>3873.87</v>
      </c>
      <c r="N283" t="s">
        <v>99</v>
      </c>
      <c r="O283" t="s">
        <v>35</v>
      </c>
      <c r="P283" t="str">
        <f t="shared" si="8"/>
        <v>Low Value</v>
      </c>
      <c r="Q283" t="str">
        <f t="shared" si="9"/>
        <v>Medium</v>
      </c>
      <c r="R283" t="str" cm="1">
        <f t="array" ref="R283">_xlfn.IFS(L283&gt;50000,"Premium",L283&gt;20000,"High",L283&gt;5000,"Medium",TRUE,"Low")</f>
        <v>Medium</v>
      </c>
    </row>
    <row r="284" spans="1:18" x14ac:dyDescent="0.3">
      <c r="A284" t="s">
        <v>781</v>
      </c>
      <c r="B284" s="1">
        <v>45055</v>
      </c>
      <c r="C284" t="s">
        <v>782</v>
      </c>
      <c r="D284" t="s">
        <v>783</v>
      </c>
      <c r="E284" t="s">
        <v>18</v>
      </c>
      <c r="F284" t="s">
        <v>19</v>
      </c>
      <c r="G284" t="s">
        <v>103</v>
      </c>
      <c r="H284">
        <v>2</v>
      </c>
      <c r="I284">
        <v>3500</v>
      </c>
      <c r="J284">
        <v>0</v>
      </c>
      <c r="K284">
        <v>0</v>
      </c>
      <c r="L284">
        <v>7000</v>
      </c>
      <c r="M284">
        <v>1182.32</v>
      </c>
      <c r="N284" t="s">
        <v>99</v>
      </c>
      <c r="O284" t="s">
        <v>35</v>
      </c>
      <c r="P284" t="str">
        <f t="shared" si="8"/>
        <v>Low Value</v>
      </c>
      <c r="Q284" t="str">
        <f t="shared" si="9"/>
        <v>Medium</v>
      </c>
      <c r="R284" t="str" cm="1">
        <f t="array" ref="R284">_xlfn.IFS(L284&gt;50000,"Premium",L284&gt;20000,"High",L284&gt;5000,"Medium",TRUE,"Low")</f>
        <v>Medium</v>
      </c>
    </row>
    <row r="285" spans="1:18" x14ac:dyDescent="0.3">
      <c r="A285" t="s">
        <v>784</v>
      </c>
      <c r="B285" s="1">
        <v>45036</v>
      </c>
      <c r="C285" t="s">
        <v>579</v>
      </c>
      <c r="D285" t="s">
        <v>340</v>
      </c>
      <c r="E285" t="s">
        <v>59</v>
      </c>
      <c r="F285" t="s">
        <v>39</v>
      </c>
      <c r="G285" t="s">
        <v>40</v>
      </c>
      <c r="H285">
        <v>2</v>
      </c>
      <c r="I285">
        <v>8500</v>
      </c>
      <c r="J285">
        <v>20</v>
      </c>
      <c r="K285">
        <v>3400</v>
      </c>
      <c r="L285">
        <v>13600</v>
      </c>
      <c r="M285">
        <v>1602.86</v>
      </c>
      <c r="N285" t="s">
        <v>34</v>
      </c>
      <c r="O285" t="s">
        <v>35</v>
      </c>
      <c r="P285" t="str">
        <f t="shared" si="8"/>
        <v>Low Value</v>
      </c>
      <c r="Q285" t="str">
        <f t="shared" si="9"/>
        <v>Medium</v>
      </c>
      <c r="R285" t="str" cm="1">
        <f t="array" ref="R285">_xlfn.IFS(L285&gt;50000,"Premium",L285&gt;20000,"High",L285&gt;5000,"Medium",TRUE,"Low")</f>
        <v>Medium</v>
      </c>
    </row>
    <row r="286" spans="1:18" x14ac:dyDescent="0.3">
      <c r="A286" t="s">
        <v>785</v>
      </c>
      <c r="B286" s="1">
        <v>45143</v>
      </c>
      <c r="C286" t="s">
        <v>786</v>
      </c>
      <c r="D286" t="s">
        <v>787</v>
      </c>
      <c r="E286" t="s">
        <v>48</v>
      </c>
      <c r="F286" t="s">
        <v>60</v>
      </c>
      <c r="G286" t="s">
        <v>165</v>
      </c>
      <c r="H286">
        <v>4</v>
      </c>
      <c r="I286">
        <v>300</v>
      </c>
      <c r="J286">
        <v>0</v>
      </c>
      <c r="K286">
        <v>0</v>
      </c>
      <c r="L286">
        <v>1200</v>
      </c>
      <c r="M286">
        <v>142.41999999999999</v>
      </c>
      <c r="N286" t="s">
        <v>34</v>
      </c>
      <c r="O286" t="s">
        <v>35</v>
      </c>
      <c r="P286" t="str">
        <f t="shared" si="8"/>
        <v>Low Value</v>
      </c>
      <c r="Q286" t="str">
        <f t="shared" si="9"/>
        <v>Low</v>
      </c>
      <c r="R286" t="str" cm="1">
        <f t="array" ref="R286">_xlfn.IFS(L286&gt;50000,"Premium",L286&gt;20000,"High",L286&gt;5000,"Medium",TRUE,"Low")</f>
        <v>Low</v>
      </c>
    </row>
    <row r="287" spans="1:18" x14ac:dyDescent="0.3">
      <c r="A287" t="s">
        <v>788</v>
      </c>
      <c r="B287" s="1">
        <v>44997</v>
      </c>
      <c r="C287" t="s">
        <v>354</v>
      </c>
      <c r="D287" t="s">
        <v>789</v>
      </c>
      <c r="E287" t="s">
        <v>59</v>
      </c>
      <c r="F287" t="s">
        <v>39</v>
      </c>
      <c r="G287" t="s">
        <v>209</v>
      </c>
      <c r="H287">
        <v>2</v>
      </c>
      <c r="I287">
        <v>3200</v>
      </c>
      <c r="J287">
        <v>25</v>
      </c>
      <c r="K287">
        <v>1600</v>
      </c>
      <c r="L287">
        <v>4800</v>
      </c>
      <c r="M287">
        <v>1669.83</v>
      </c>
      <c r="N287" t="s">
        <v>21</v>
      </c>
      <c r="O287" t="s">
        <v>35</v>
      </c>
      <c r="P287" t="str">
        <f t="shared" si="8"/>
        <v>Low Value</v>
      </c>
      <c r="Q287" t="str">
        <f t="shared" si="9"/>
        <v>Low</v>
      </c>
      <c r="R287" t="str" cm="1">
        <f t="array" ref="R287">_xlfn.IFS(L287&gt;50000,"Premium",L287&gt;20000,"High",L287&gt;5000,"Medium",TRUE,"Low")</f>
        <v>Low</v>
      </c>
    </row>
    <row r="288" spans="1:18" x14ac:dyDescent="0.3">
      <c r="A288" t="s">
        <v>790</v>
      </c>
      <c r="B288" s="1">
        <v>45152</v>
      </c>
      <c r="C288" t="s">
        <v>170</v>
      </c>
      <c r="D288" t="s">
        <v>164</v>
      </c>
      <c r="E288" t="s">
        <v>54</v>
      </c>
      <c r="F288" t="s">
        <v>32</v>
      </c>
      <c r="G288" t="s">
        <v>55</v>
      </c>
      <c r="H288">
        <v>2</v>
      </c>
      <c r="I288">
        <v>250</v>
      </c>
      <c r="J288">
        <v>25</v>
      </c>
      <c r="K288">
        <v>125</v>
      </c>
      <c r="L288">
        <v>375</v>
      </c>
      <c r="M288">
        <v>102.93</v>
      </c>
      <c r="N288" t="s">
        <v>27</v>
      </c>
      <c r="O288" t="s">
        <v>35</v>
      </c>
      <c r="P288" t="str">
        <f t="shared" si="8"/>
        <v>Low Value</v>
      </c>
      <c r="Q288" t="str">
        <f t="shared" si="9"/>
        <v>Low</v>
      </c>
      <c r="R288" t="str" cm="1">
        <f t="array" ref="R288">_xlfn.IFS(L288&gt;50000,"Premium",L288&gt;20000,"High",L288&gt;5000,"Medium",TRUE,"Low")</f>
        <v>Low</v>
      </c>
    </row>
    <row r="289" spans="1:18" x14ac:dyDescent="0.3">
      <c r="A289" t="s">
        <v>791</v>
      </c>
      <c r="B289" s="1">
        <v>44978</v>
      </c>
      <c r="C289" t="s">
        <v>234</v>
      </c>
      <c r="D289" t="s">
        <v>327</v>
      </c>
      <c r="E289" t="s">
        <v>83</v>
      </c>
      <c r="F289" t="s">
        <v>69</v>
      </c>
      <c r="G289" t="s">
        <v>111</v>
      </c>
      <c r="H289">
        <v>1</v>
      </c>
      <c r="I289">
        <v>3499</v>
      </c>
      <c r="J289">
        <v>20</v>
      </c>
      <c r="K289">
        <v>699.8</v>
      </c>
      <c r="L289">
        <v>2799.2</v>
      </c>
      <c r="M289">
        <v>752.99</v>
      </c>
      <c r="N289" t="s">
        <v>27</v>
      </c>
      <c r="O289" t="s">
        <v>35</v>
      </c>
      <c r="P289" t="str">
        <f t="shared" si="8"/>
        <v>Low Value</v>
      </c>
      <c r="Q289" t="str">
        <f t="shared" si="9"/>
        <v>Low</v>
      </c>
      <c r="R289" t="str" cm="1">
        <f t="array" ref="R289">_xlfn.IFS(L289&gt;50000,"Premium",L289&gt;20000,"High",L289&gt;5000,"Medium",TRUE,"Low")</f>
        <v>Low</v>
      </c>
    </row>
    <row r="290" spans="1:18" x14ac:dyDescent="0.3">
      <c r="A290" t="s">
        <v>792</v>
      </c>
      <c r="B290" s="1">
        <v>45257</v>
      </c>
      <c r="C290" t="s">
        <v>793</v>
      </c>
      <c r="D290" t="s">
        <v>794</v>
      </c>
      <c r="E290" t="s">
        <v>78</v>
      </c>
      <c r="F290" t="s">
        <v>19</v>
      </c>
      <c r="G290" t="s">
        <v>65</v>
      </c>
      <c r="H290">
        <v>5</v>
      </c>
      <c r="I290">
        <v>55000</v>
      </c>
      <c r="J290">
        <v>20</v>
      </c>
      <c r="K290">
        <v>55000</v>
      </c>
      <c r="L290">
        <v>220000</v>
      </c>
      <c r="M290">
        <v>50600.52</v>
      </c>
      <c r="N290" t="s">
        <v>27</v>
      </c>
      <c r="O290" t="s">
        <v>95</v>
      </c>
      <c r="P290" t="str">
        <f t="shared" si="8"/>
        <v>High Value</v>
      </c>
      <c r="Q290" t="str">
        <f t="shared" si="9"/>
        <v>Premium</v>
      </c>
      <c r="R290" t="str" cm="1">
        <f t="array" ref="R290">_xlfn.IFS(L290&gt;50000,"Premium",L290&gt;20000,"High",L290&gt;5000,"Medium",TRUE,"Low")</f>
        <v>Premium</v>
      </c>
    </row>
    <row r="291" spans="1:18" x14ac:dyDescent="0.3">
      <c r="A291" t="s">
        <v>795</v>
      </c>
      <c r="B291" s="1">
        <v>45237</v>
      </c>
      <c r="C291" t="s">
        <v>777</v>
      </c>
      <c r="D291" t="s">
        <v>796</v>
      </c>
      <c r="E291" t="s">
        <v>26</v>
      </c>
      <c r="F291" t="s">
        <v>74</v>
      </c>
      <c r="G291" t="s">
        <v>381</v>
      </c>
      <c r="H291">
        <v>4</v>
      </c>
      <c r="I291">
        <v>800</v>
      </c>
      <c r="J291">
        <v>10</v>
      </c>
      <c r="K291">
        <v>320</v>
      </c>
      <c r="L291">
        <v>2880</v>
      </c>
      <c r="M291">
        <v>702.29</v>
      </c>
      <c r="N291" t="s">
        <v>99</v>
      </c>
      <c r="O291" t="s">
        <v>35</v>
      </c>
      <c r="P291" t="str">
        <f t="shared" si="8"/>
        <v>Low Value</v>
      </c>
      <c r="Q291" t="str">
        <f t="shared" si="9"/>
        <v>Low</v>
      </c>
      <c r="R291" t="str" cm="1">
        <f t="array" ref="R291">_xlfn.IFS(L291&gt;50000,"Premium",L291&gt;20000,"High",L291&gt;5000,"Medium",TRUE,"Low")</f>
        <v>Low</v>
      </c>
    </row>
    <row r="292" spans="1:18" x14ac:dyDescent="0.3">
      <c r="A292" t="s">
        <v>797</v>
      </c>
      <c r="B292" s="1">
        <v>45182</v>
      </c>
      <c r="C292" t="s">
        <v>798</v>
      </c>
      <c r="D292" t="s">
        <v>566</v>
      </c>
      <c r="E292" t="s">
        <v>83</v>
      </c>
      <c r="F292" t="s">
        <v>60</v>
      </c>
      <c r="G292" t="s">
        <v>61</v>
      </c>
      <c r="H292">
        <v>1</v>
      </c>
      <c r="I292">
        <v>850</v>
      </c>
      <c r="J292">
        <v>20</v>
      </c>
      <c r="K292">
        <v>170</v>
      </c>
      <c r="L292">
        <v>680</v>
      </c>
      <c r="M292">
        <v>215.3</v>
      </c>
      <c r="N292" t="s">
        <v>41</v>
      </c>
      <c r="O292" t="s">
        <v>95</v>
      </c>
      <c r="P292" t="str">
        <f t="shared" si="8"/>
        <v>Low Value</v>
      </c>
      <c r="Q292" t="str">
        <f t="shared" si="9"/>
        <v>Low</v>
      </c>
      <c r="R292" t="str" cm="1">
        <f t="array" ref="R292">_xlfn.IFS(L292&gt;50000,"Premium",L292&gt;20000,"High",L292&gt;5000,"Medium",TRUE,"Low")</f>
        <v>Low</v>
      </c>
    </row>
    <row r="293" spans="1:18" x14ac:dyDescent="0.3">
      <c r="A293" t="s">
        <v>799</v>
      </c>
      <c r="B293" s="1">
        <v>45142</v>
      </c>
      <c r="C293" t="s">
        <v>474</v>
      </c>
      <c r="D293" t="s">
        <v>800</v>
      </c>
      <c r="E293" t="s">
        <v>18</v>
      </c>
      <c r="F293" t="s">
        <v>32</v>
      </c>
      <c r="G293" t="s">
        <v>361</v>
      </c>
      <c r="H293">
        <v>2</v>
      </c>
      <c r="I293">
        <v>90</v>
      </c>
      <c r="J293">
        <v>15</v>
      </c>
      <c r="K293">
        <v>27</v>
      </c>
      <c r="L293">
        <v>153</v>
      </c>
      <c r="M293">
        <v>51.46</v>
      </c>
      <c r="N293" t="s">
        <v>99</v>
      </c>
      <c r="O293" t="s">
        <v>35</v>
      </c>
      <c r="P293" t="str">
        <f t="shared" si="8"/>
        <v>Low Value</v>
      </c>
      <c r="Q293" t="str">
        <f t="shared" si="9"/>
        <v>Low</v>
      </c>
      <c r="R293" t="str" cm="1">
        <f t="array" ref="R293">_xlfn.IFS(L293&gt;50000,"Premium",L293&gt;20000,"High",L293&gt;5000,"Medium",TRUE,"Low")</f>
        <v>Low</v>
      </c>
    </row>
    <row r="294" spans="1:18" x14ac:dyDescent="0.3">
      <c r="A294" t="s">
        <v>801</v>
      </c>
      <c r="B294" s="1">
        <v>45037</v>
      </c>
      <c r="C294" t="s">
        <v>802</v>
      </c>
      <c r="D294" t="s">
        <v>803</v>
      </c>
      <c r="E294" t="s">
        <v>26</v>
      </c>
      <c r="F294" t="s">
        <v>19</v>
      </c>
      <c r="G294" t="s">
        <v>20</v>
      </c>
      <c r="H294">
        <v>4</v>
      </c>
      <c r="I294">
        <v>18000</v>
      </c>
      <c r="J294">
        <v>20</v>
      </c>
      <c r="K294">
        <v>14400</v>
      </c>
      <c r="L294">
        <v>57600</v>
      </c>
      <c r="M294">
        <v>7830.51</v>
      </c>
      <c r="N294" t="s">
        <v>41</v>
      </c>
      <c r="O294" t="s">
        <v>35</v>
      </c>
      <c r="P294" t="str">
        <f t="shared" si="8"/>
        <v>High Value</v>
      </c>
      <c r="Q294" t="str">
        <f t="shared" si="9"/>
        <v>Premium</v>
      </c>
      <c r="R294" t="str" cm="1">
        <f t="array" ref="R294">_xlfn.IFS(L294&gt;50000,"Premium",L294&gt;20000,"High",L294&gt;5000,"Medium",TRUE,"Low")</f>
        <v>Premium</v>
      </c>
    </row>
    <row r="295" spans="1:18" x14ac:dyDescent="0.3">
      <c r="A295" t="s">
        <v>804</v>
      </c>
      <c r="B295" s="1">
        <v>45254</v>
      </c>
      <c r="C295" t="s">
        <v>441</v>
      </c>
      <c r="D295" t="s">
        <v>789</v>
      </c>
      <c r="E295" t="s">
        <v>31</v>
      </c>
      <c r="F295" t="s">
        <v>74</v>
      </c>
      <c r="G295" t="s">
        <v>144</v>
      </c>
      <c r="H295">
        <v>5</v>
      </c>
      <c r="I295">
        <v>1500</v>
      </c>
      <c r="J295">
        <v>5</v>
      </c>
      <c r="K295">
        <v>375</v>
      </c>
      <c r="L295">
        <v>7125</v>
      </c>
      <c r="M295">
        <v>949.34</v>
      </c>
      <c r="N295" t="s">
        <v>27</v>
      </c>
      <c r="O295" t="s">
        <v>95</v>
      </c>
      <c r="P295" t="str">
        <f t="shared" si="8"/>
        <v>Low Value</v>
      </c>
      <c r="Q295" t="str">
        <f t="shared" si="9"/>
        <v>Medium</v>
      </c>
      <c r="R295" t="str" cm="1">
        <f t="array" ref="R295">_xlfn.IFS(L295&gt;50000,"Premium",L295&gt;20000,"High",L295&gt;5000,"Medium",TRUE,"Low")</f>
        <v>Medium</v>
      </c>
    </row>
    <row r="296" spans="1:18" x14ac:dyDescent="0.3">
      <c r="A296" t="s">
        <v>805</v>
      </c>
      <c r="B296" s="1">
        <v>45094</v>
      </c>
      <c r="C296" t="s">
        <v>806</v>
      </c>
      <c r="D296" t="s">
        <v>580</v>
      </c>
      <c r="E296" t="s">
        <v>31</v>
      </c>
      <c r="F296" t="s">
        <v>39</v>
      </c>
      <c r="G296" t="s">
        <v>79</v>
      </c>
      <c r="H296">
        <v>1</v>
      </c>
      <c r="I296">
        <v>25000</v>
      </c>
      <c r="J296">
        <v>10</v>
      </c>
      <c r="K296">
        <v>2500</v>
      </c>
      <c r="L296">
        <v>22500</v>
      </c>
      <c r="M296">
        <v>5841.06</v>
      </c>
      <c r="N296" t="s">
        <v>99</v>
      </c>
      <c r="O296" t="s">
        <v>22</v>
      </c>
      <c r="P296" t="str">
        <f t="shared" si="8"/>
        <v>High Value</v>
      </c>
      <c r="Q296" t="str">
        <f t="shared" si="9"/>
        <v>High</v>
      </c>
      <c r="R296" t="str" cm="1">
        <f t="array" ref="R296">_xlfn.IFS(L296&gt;50000,"Premium",L296&gt;20000,"High",L296&gt;5000,"Medium",TRUE,"Low")</f>
        <v>High</v>
      </c>
    </row>
    <row r="297" spans="1:18" x14ac:dyDescent="0.3">
      <c r="A297" t="s">
        <v>807</v>
      </c>
      <c r="B297" s="1">
        <v>44986</v>
      </c>
      <c r="C297" t="s">
        <v>808</v>
      </c>
      <c r="D297" t="s">
        <v>809</v>
      </c>
      <c r="E297" t="s">
        <v>59</v>
      </c>
      <c r="F297" t="s">
        <v>39</v>
      </c>
      <c r="G297" t="s">
        <v>79</v>
      </c>
      <c r="H297">
        <v>5</v>
      </c>
      <c r="I297">
        <v>25000</v>
      </c>
      <c r="J297">
        <v>0</v>
      </c>
      <c r="K297">
        <v>0</v>
      </c>
      <c r="L297">
        <v>125000</v>
      </c>
      <c r="M297">
        <v>17848.38</v>
      </c>
      <c r="N297" t="s">
        <v>27</v>
      </c>
      <c r="O297" t="s">
        <v>35</v>
      </c>
      <c r="P297" t="str">
        <f t="shared" si="8"/>
        <v>High Value</v>
      </c>
      <c r="Q297" t="str">
        <f t="shared" si="9"/>
        <v>Premium</v>
      </c>
      <c r="R297" t="str" cm="1">
        <f t="array" ref="R297">_xlfn.IFS(L297&gt;50000,"Premium",L297&gt;20000,"High",L297&gt;5000,"Medium",TRUE,"Low")</f>
        <v>Premium</v>
      </c>
    </row>
    <row r="298" spans="1:18" x14ac:dyDescent="0.3">
      <c r="A298" t="s">
        <v>810</v>
      </c>
      <c r="B298" s="1">
        <v>45010</v>
      </c>
      <c r="C298" t="s">
        <v>811</v>
      </c>
      <c r="D298" t="s">
        <v>370</v>
      </c>
      <c r="E298" t="s">
        <v>48</v>
      </c>
      <c r="F298" t="s">
        <v>39</v>
      </c>
      <c r="G298" t="s">
        <v>126</v>
      </c>
      <c r="H298">
        <v>5</v>
      </c>
      <c r="I298">
        <v>4200</v>
      </c>
      <c r="J298">
        <v>20</v>
      </c>
      <c r="K298">
        <v>4200</v>
      </c>
      <c r="L298">
        <v>16800</v>
      </c>
      <c r="M298">
        <v>4786.25</v>
      </c>
      <c r="N298" t="s">
        <v>27</v>
      </c>
      <c r="O298" t="s">
        <v>35</v>
      </c>
      <c r="P298" t="str">
        <f t="shared" si="8"/>
        <v>Low Value</v>
      </c>
      <c r="Q298" t="str">
        <f t="shared" si="9"/>
        <v>Medium</v>
      </c>
      <c r="R298" t="str" cm="1">
        <f t="array" ref="R298">_xlfn.IFS(L298&gt;50000,"Premium",L298&gt;20000,"High",L298&gt;5000,"Medium",TRUE,"Low")</f>
        <v>Medium</v>
      </c>
    </row>
    <row r="299" spans="1:18" x14ac:dyDescent="0.3">
      <c r="A299" t="s">
        <v>812</v>
      </c>
      <c r="B299" s="1">
        <v>44987</v>
      </c>
      <c r="C299" t="s">
        <v>736</v>
      </c>
      <c r="D299" t="s">
        <v>375</v>
      </c>
      <c r="E299" t="s">
        <v>18</v>
      </c>
      <c r="F299" t="s">
        <v>49</v>
      </c>
      <c r="G299" t="s">
        <v>50</v>
      </c>
      <c r="H299">
        <v>3</v>
      </c>
      <c r="I299">
        <v>499</v>
      </c>
      <c r="J299">
        <v>15</v>
      </c>
      <c r="K299">
        <v>224.55</v>
      </c>
      <c r="L299">
        <v>1272.45</v>
      </c>
      <c r="M299">
        <v>167.45</v>
      </c>
      <c r="N299" t="s">
        <v>41</v>
      </c>
      <c r="O299" t="s">
        <v>22</v>
      </c>
      <c r="P299" t="str">
        <f t="shared" si="8"/>
        <v>Low Value</v>
      </c>
      <c r="Q299" t="str">
        <f t="shared" si="9"/>
        <v>Low</v>
      </c>
      <c r="R299" t="str" cm="1">
        <f t="array" ref="R299">_xlfn.IFS(L299&gt;50000,"Premium",L299&gt;20000,"High",L299&gt;5000,"Medium",TRUE,"Low")</f>
        <v>Low</v>
      </c>
    </row>
    <row r="300" spans="1:18" x14ac:dyDescent="0.3">
      <c r="A300" t="s">
        <v>813</v>
      </c>
      <c r="B300" s="1">
        <v>45188</v>
      </c>
      <c r="C300" t="s">
        <v>356</v>
      </c>
      <c r="D300" t="s">
        <v>814</v>
      </c>
      <c r="E300" t="s">
        <v>18</v>
      </c>
      <c r="F300" t="s">
        <v>32</v>
      </c>
      <c r="G300" t="s">
        <v>253</v>
      </c>
      <c r="H300">
        <v>4</v>
      </c>
      <c r="I300">
        <v>350</v>
      </c>
      <c r="J300">
        <v>20</v>
      </c>
      <c r="K300">
        <v>280</v>
      </c>
      <c r="L300">
        <v>1120</v>
      </c>
      <c r="M300">
        <v>112.07</v>
      </c>
      <c r="N300" t="s">
        <v>27</v>
      </c>
      <c r="O300" t="s">
        <v>95</v>
      </c>
      <c r="P300" t="str">
        <f t="shared" si="8"/>
        <v>Low Value</v>
      </c>
      <c r="Q300" t="str">
        <f t="shared" si="9"/>
        <v>Low</v>
      </c>
      <c r="R300" t="str" cm="1">
        <f t="array" ref="R300">_xlfn.IFS(L300&gt;50000,"Premium",L300&gt;20000,"High",L300&gt;5000,"Medium",TRUE,"Low")</f>
        <v>Low</v>
      </c>
    </row>
    <row r="301" spans="1:18" x14ac:dyDescent="0.3">
      <c r="A301" t="s">
        <v>815</v>
      </c>
      <c r="B301" s="1">
        <v>44928</v>
      </c>
      <c r="C301" t="s">
        <v>367</v>
      </c>
      <c r="D301" t="s">
        <v>337</v>
      </c>
      <c r="E301" t="s">
        <v>83</v>
      </c>
      <c r="F301" t="s">
        <v>19</v>
      </c>
      <c r="G301" t="s">
        <v>107</v>
      </c>
      <c r="H301">
        <v>1</v>
      </c>
      <c r="I301">
        <v>4500</v>
      </c>
      <c r="J301">
        <v>5</v>
      </c>
      <c r="K301">
        <v>225</v>
      </c>
      <c r="L301">
        <v>4275</v>
      </c>
      <c r="M301">
        <v>272.72000000000003</v>
      </c>
      <c r="N301" t="s">
        <v>99</v>
      </c>
      <c r="O301" t="s">
        <v>95</v>
      </c>
      <c r="P301" t="str">
        <f t="shared" si="8"/>
        <v>Low Value</v>
      </c>
      <c r="Q301" t="str">
        <f t="shared" si="9"/>
        <v>Low</v>
      </c>
      <c r="R301" t="str" cm="1">
        <f t="array" ref="R301">_xlfn.IFS(L301&gt;50000,"Premium",L301&gt;20000,"High",L301&gt;5000,"Medium",TRUE,"Low")</f>
        <v>Low</v>
      </c>
    </row>
    <row r="302" spans="1:18" x14ac:dyDescent="0.3">
      <c r="A302" t="s">
        <v>816</v>
      </c>
      <c r="B302" s="1">
        <v>45262</v>
      </c>
      <c r="C302" t="s">
        <v>817</v>
      </c>
      <c r="D302" t="s">
        <v>666</v>
      </c>
      <c r="E302" t="s">
        <v>18</v>
      </c>
      <c r="F302" t="s">
        <v>39</v>
      </c>
      <c r="G302" t="s">
        <v>84</v>
      </c>
      <c r="H302">
        <v>3</v>
      </c>
      <c r="I302">
        <v>6500</v>
      </c>
      <c r="J302">
        <v>5</v>
      </c>
      <c r="K302">
        <v>975</v>
      </c>
      <c r="L302">
        <v>18525</v>
      </c>
      <c r="M302">
        <v>3239.6</v>
      </c>
      <c r="N302" t="s">
        <v>21</v>
      </c>
      <c r="O302" t="s">
        <v>35</v>
      </c>
      <c r="P302" t="str">
        <f t="shared" si="8"/>
        <v>Low Value</v>
      </c>
      <c r="Q302" t="str">
        <f t="shared" si="9"/>
        <v>Medium</v>
      </c>
      <c r="R302" t="str" cm="1">
        <f t="array" ref="R302">_xlfn.IFS(L302&gt;50000,"Premium",L302&gt;20000,"High",L302&gt;5000,"Medium",TRUE,"Low")</f>
        <v>Medium</v>
      </c>
    </row>
    <row r="303" spans="1:18" x14ac:dyDescent="0.3">
      <c r="A303" t="s">
        <v>818</v>
      </c>
      <c r="B303" s="1">
        <v>44988</v>
      </c>
      <c r="C303" t="s">
        <v>819</v>
      </c>
      <c r="D303" t="s">
        <v>820</v>
      </c>
      <c r="E303" t="s">
        <v>18</v>
      </c>
      <c r="F303" t="s">
        <v>74</v>
      </c>
      <c r="G303" t="s">
        <v>192</v>
      </c>
      <c r="H303">
        <v>1</v>
      </c>
      <c r="I303">
        <v>12000</v>
      </c>
      <c r="J303">
        <v>5</v>
      </c>
      <c r="K303">
        <v>600</v>
      </c>
      <c r="L303">
        <v>11400</v>
      </c>
      <c r="M303">
        <v>1333.29</v>
      </c>
      <c r="N303" t="s">
        <v>41</v>
      </c>
      <c r="O303" t="s">
        <v>35</v>
      </c>
      <c r="P303" t="str">
        <f t="shared" si="8"/>
        <v>Low Value</v>
      </c>
      <c r="Q303" t="str">
        <f t="shared" si="9"/>
        <v>Medium</v>
      </c>
      <c r="R303" t="str" cm="1">
        <f t="array" ref="R303">_xlfn.IFS(L303&gt;50000,"Premium",L303&gt;20000,"High",L303&gt;5000,"Medium",TRUE,"Low")</f>
        <v>Medium</v>
      </c>
    </row>
    <row r="304" spans="1:18" x14ac:dyDescent="0.3">
      <c r="A304" t="s">
        <v>821</v>
      </c>
      <c r="B304" s="1">
        <v>45086</v>
      </c>
      <c r="C304" t="s">
        <v>822</v>
      </c>
      <c r="D304" t="s">
        <v>572</v>
      </c>
      <c r="E304" t="s">
        <v>78</v>
      </c>
      <c r="F304" t="s">
        <v>32</v>
      </c>
      <c r="G304" t="s">
        <v>253</v>
      </c>
      <c r="H304">
        <v>5</v>
      </c>
      <c r="I304">
        <v>350</v>
      </c>
      <c r="J304">
        <v>15</v>
      </c>
      <c r="K304">
        <v>262.5</v>
      </c>
      <c r="L304">
        <v>1487.5</v>
      </c>
      <c r="M304">
        <v>77.930000000000007</v>
      </c>
      <c r="N304" t="s">
        <v>21</v>
      </c>
      <c r="O304" t="s">
        <v>35</v>
      </c>
      <c r="P304" t="str">
        <f t="shared" si="8"/>
        <v>Low Value</v>
      </c>
      <c r="Q304" t="str">
        <f t="shared" si="9"/>
        <v>Low</v>
      </c>
      <c r="R304" t="str" cm="1">
        <f t="array" ref="R304">_xlfn.IFS(L304&gt;50000,"Premium",L304&gt;20000,"High",L304&gt;5000,"Medium",TRUE,"Low")</f>
        <v>Low</v>
      </c>
    </row>
    <row r="305" spans="1:18" x14ac:dyDescent="0.3">
      <c r="A305" t="s">
        <v>823</v>
      </c>
      <c r="B305" s="1">
        <v>45164</v>
      </c>
      <c r="C305" t="s">
        <v>668</v>
      </c>
      <c r="D305" t="s">
        <v>824</v>
      </c>
      <c r="E305" t="s">
        <v>59</v>
      </c>
      <c r="F305" t="s">
        <v>32</v>
      </c>
      <c r="G305" t="s">
        <v>361</v>
      </c>
      <c r="H305">
        <v>4</v>
      </c>
      <c r="I305">
        <v>90</v>
      </c>
      <c r="J305">
        <v>5</v>
      </c>
      <c r="K305">
        <v>18</v>
      </c>
      <c r="L305">
        <v>342</v>
      </c>
      <c r="M305">
        <v>92.25</v>
      </c>
      <c r="N305" t="s">
        <v>41</v>
      </c>
      <c r="O305" t="s">
        <v>35</v>
      </c>
      <c r="P305" t="str">
        <f t="shared" si="8"/>
        <v>Low Value</v>
      </c>
      <c r="Q305" t="str">
        <f t="shared" si="9"/>
        <v>Low</v>
      </c>
      <c r="R305" t="str" cm="1">
        <f t="array" ref="R305">_xlfn.IFS(L305&gt;50000,"Premium",L305&gt;20000,"High",L305&gt;5000,"Medium",TRUE,"Low")</f>
        <v>Low</v>
      </c>
    </row>
    <row r="306" spans="1:18" x14ac:dyDescent="0.3">
      <c r="A306" t="s">
        <v>825</v>
      </c>
      <c r="B306" s="1">
        <v>45046</v>
      </c>
      <c r="C306" t="s">
        <v>413</v>
      </c>
      <c r="D306" t="s">
        <v>466</v>
      </c>
      <c r="E306" t="s">
        <v>18</v>
      </c>
      <c r="F306" t="s">
        <v>74</v>
      </c>
      <c r="G306" t="s">
        <v>341</v>
      </c>
      <c r="H306">
        <v>1</v>
      </c>
      <c r="I306">
        <v>700</v>
      </c>
      <c r="J306">
        <v>10</v>
      </c>
      <c r="K306">
        <v>70</v>
      </c>
      <c r="L306">
        <v>630</v>
      </c>
      <c r="M306">
        <v>31.78</v>
      </c>
      <c r="N306" t="s">
        <v>27</v>
      </c>
      <c r="O306" t="s">
        <v>95</v>
      </c>
      <c r="P306" t="str">
        <f t="shared" si="8"/>
        <v>Low Value</v>
      </c>
      <c r="Q306" t="str">
        <f t="shared" si="9"/>
        <v>Low</v>
      </c>
      <c r="R306" t="str" cm="1">
        <f t="array" ref="R306">_xlfn.IFS(L306&gt;50000,"Premium",L306&gt;20000,"High",L306&gt;5000,"Medium",TRUE,"Low")</f>
        <v>Low</v>
      </c>
    </row>
    <row r="307" spans="1:18" x14ac:dyDescent="0.3">
      <c r="A307" t="s">
        <v>826</v>
      </c>
      <c r="B307" s="1">
        <v>45048</v>
      </c>
      <c r="C307" t="s">
        <v>407</v>
      </c>
      <c r="D307" t="s">
        <v>58</v>
      </c>
      <c r="E307" t="s">
        <v>26</v>
      </c>
      <c r="F307" t="s">
        <v>39</v>
      </c>
      <c r="G307" t="s">
        <v>219</v>
      </c>
      <c r="H307">
        <v>1</v>
      </c>
      <c r="I307">
        <v>18000</v>
      </c>
      <c r="J307">
        <v>5</v>
      </c>
      <c r="K307">
        <v>900</v>
      </c>
      <c r="L307">
        <v>17100</v>
      </c>
      <c r="M307">
        <v>4505.78</v>
      </c>
      <c r="N307" t="s">
        <v>34</v>
      </c>
      <c r="O307" t="s">
        <v>22</v>
      </c>
      <c r="P307" t="str">
        <f t="shared" si="8"/>
        <v>Low Value</v>
      </c>
      <c r="Q307" t="str">
        <f t="shared" si="9"/>
        <v>Medium</v>
      </c>
      <c r="R307" t="str" cm="1">
        <f t="array" ref="R307">_xlfn.IFS(L307&gt;50000,"Premium",L307&gt;20000,"High",L307&gt;5000,"Medium",TRUE,"Low")</f>
        <v>Medium</v>
      </c>
    </row>
    <row r="308" spans="1:18" x14ac:dyDescent="0.3">
      <c r="A308" t="s">
        <v>827</v>
      </c>
      <c r="B308" s="1">
        <v>44970</v>
      </c>
      <c r="C308" t="s">
        <v>565</v>
      </c>
      <c r="D308" t="s">
        <v>246</v>
      </c>
      <c r="E308" t="s">
        <v>59</v>
      </c>
      <c r="F308" t="s">
        <v>74</v>
      </c>
      <c r="G308" t="s">
        <v>137</v>
      </c>
      <c r="H308">
        <v>5</v>
      </c>
      <c r="I308">
        <v>2500</v>
      </c>
      <c r="J308">
        <v>5</v>
      </c>
      <c r="K308">
        <v>625</v>
      </c>
      <c r="L308">
        <v>11875</v>
      </c>
      <c r="M308">
        <v>2863.83</v>
      </c>
      <c r="N308" t="s">
        <v>41</v>
      </c>
      <c r="O308" t="s">
        <v>35</v>
      </c>
      <c r="P308" t="str">
        <f t="shared" si="8"/>
        <v>Low Value</v>
      </c>
      <c r="Q308" t="str">
        <f t="shared" si="9"/>
        <v>Medium</v>
      </c>
      <c r="R308" t="str" cm="1">
        <f t="array" ref="R308">_xlfn.IFS(L308&gt;50000,"Premium",L308&gt;20000,"High",L308&gt;5000,"Medium",TRUE,"Low")</f>
        <v>Medium</v>
      </c>
    </row>
    <row r="309" spans="1:18" x14ac:dyDescent="0.3">
      <c r="A309" t="s">
        <v>828</v>
      </c>
      <c r="B309" s="1">
        <v>45048</v>
      </c>
      <c r="C309" t="s">
        <v>221</v>
      </c>
      <c r="D309" t="s">
        <v>451</v>
      </c>
      <c r="E309" t="s">
        <v>54</v>
      </c>
      <c r="F309" t="s">
        <v>32</v>
      </c>
      <c r="G309" t="s">
        <v>309</v>
      </c>
      <c r="H309">
        <v>3</v>
      </c>
      <c r="I309">
        <v>180</v>
      </c>
      <c r="J309">
        <v>15</v>
      </c>
      <c r="K309">
        <v>81</v>
      </c>
      <c r="L309">
        <v>459</v>
      </c>
      <c r="M309">
        <v>119.44</v>
      </c>
      <c r="N309" t="s">
        <v>34</v>
      </c>
      <c r="O309" t="s">
        <v>35</v>
      </c>
      <c r="P309" t="str">
        <f t="shared" si="8"/>
        <v>Low Value</v>
      </c>
      <c r="Q309" t="str">
        <f t="shared" si="9"/>
        <v>Low</v>
      </c>
      <c r="R309" t="str" cm="1">
        <f t="array" ref="R309">_xlfn.IFS(L309&gt;50000,"Premium",L309&gt;20000,"High",L309&gt;5000,"Medium",TRUE,"Low")</f>
        <v>Low</v>
      </c>
    </row>
    <row r="310" spans="1:18" x14ac:dyDescent="0.3">
      <c r="A310" t="s">
        <v>829</v>
      </c>
      <c r="B310" s="1">
        <v>44965</v>
      </c>
      <c r="C310" t="s">
        <v>541</v>
      </c>
      <c r="D310" t="s">
        <v>384</v>
      </c>
      <c r="E310" t="s">
        <v>48</v>
      </c>
      <c r="F310" t="s">
        <v>69</v>
      </c>
      <c r="G310" t="s">
        <v>202</v>
      </c>
      <c r="H310">
        <v>5</v>
      </c>
      <c r="I310">
        <v>1299</v>
      </c>
      <c r="J310">
        <v>0</v>
      </c>
      <c r="K310">
        <v>0</v>
      </c>
      <c r="L310">
        <v>6495</v>
      </c>
      <c r="M310">
        <v>627.57000000000005</v>
      </c>
      <c r="N310" t="s">
        <v>41</v>
      </c>
      <c r="O310" t="s">
        <v>35</v>
      </c>
      <c r="P310" t="str">
        <f t="shared" si="8"/>
        <v>Low Value</v>
      </c>
      <c r="Q310" t="str">
        <f t="shared" si="9"/>
        <v>Medium</v>
      </c>
      <c r="R310" t="str" cm="1">
        <f t="array" ref="R310">_xlfn.IFS(L310&gt;50000,"Premium",L310&gt;20000,"High",L310&gt;5000,"Medium",TRUE,"Low")</f>
        <v>Medium</v>
      </c>
    </row>
    <row r="311" spans="1:18" x14ac:dyDescent="0.3">
      <c r="A311" t="s">
        <v>830</v>
      </c>
      <c r="B311" s="1">
        <v>45201</v>
      </c>
      <c r="C311" t="s">
        <v>176</v>
      </c>
      <c r="D311" t="s">
        <v>831</v>
      </c>
      <c r="E311" t="s">
        <v>83</v>
      </c>
      <c r="F311" t="s">
        <v>32</v>
      </c>
      <c r="G311" t="s">
        <v>33</v>
      </c>
      <c r="H311">
        <v>2</v>
      </c>
      <c r="I311">
        <v>400</v>
      </c>
      <c r="J311">
        <v>15</v>
      </c>
      <c r="K311">
        <v>120</v>
      </c>
      <c r="L311">
        <v>680</v>
      </c>
      <c r="M311">
        <v>96.89</v>
      </c>
      <c r="N311" t="s">
        <v>34</v>
      </c>
      <c r="O311" t="s">
        <v>95</v>
      </c>
      <c r="P311" t="str">
        <f t="shared" si="8"/>
        <v>Low Value</v>
      </c>
      <c r="Q311" t="str">
        <f t="shared" si="9"/>
        <v>Low</v>
      </c>
      <c r="R311" t="str" cm="1">
        <f t="array" ref="R311">_xlfn.IFS(L311&gt;50000,"Premium",L311&gt;20000,"High",L311&gt;5000,"Medium",TRUE,"Low")</f>
        <v>Low</v>
      </c>
    </row>
    <row r="312" spans="1:18" x14ac:dyDescent="0.3">
      <c r="A312" t="s">
        <v>832</v>
      </c>
      <c r="B312" s="1">
        <v>44947</v>
      </c>
      <c r="C312" t="s">
        <v>525</v>
      </c>
      <c r="D312" t="s">
        <v>562</v>
      </c>
      <c r="E312" t="s">
        <v>59</v>
      </c>
      <c r="F312" t="s">
        <v>69</v>
      </c>
      <c r="G312" t="s">
        <v>111</v>
      </c>
      <c r="H312">
        <v>3</v>
      </c>
      <c r="I312">
        <v>3499</v>
      </c>
      <c r="J312">
        <v>5</v>
      </c>
      <c r="K312">
        <v>524.85</v>
      </c>
      <c r="L312">
        <v>9972.15</v>
      </c>
      <c r="M312">
        <v>771.48</v>
      </c>
      <c r="N312" t="s">
        <v>34</v>
      </c>
      <c r="O312" t="s">
        <v>35</v>
      </c>
      <c r="P312" t="str">
        <f t="shared" si="8"/>
        <v>Low Value</v>
      </c>
      <c r="Q312" t="str">
        <f t="shared" si="9"/>
        <v>Medium</v>
      </c>
      <c r="R312" t="str" cm="1">
        <f t="array" ref="R312">_xlfn.IFS(L312&gt;50000,"Premium",L312&gt;20000,"High",L312&gt;5000,"Medium",TRUE,"Low")</f>
        <v>Medium</v>
      </c>
    </row>
    <row r="313" spans="1:18" x14ac:dyDescent="0.3">
      <c r="A313" t="s">
        <v>833</v>
      </c>
      <c r="B313" s="1">
        <v>45016</v>
      </c>
      <c r="C313" t="s">
        <v>525</v>
      </c>
      <c r="D313" t="s">
        <v>321</v>
      </c>
      <c r="E313" t="s">
        <v>18</v>
      </c>
      <c r="F313" t="s">
        <v>19</v>
      </c>
      <c r="G313" t="s">
        <v>229</v>
      </c>
      <c r="H313">
        <v>4</v>
      </c>
      <c r="I313">
        <v>8000</v>
      </c>
      <c r="J313">
        <v>20</v>
      </c>
      <c r="K313">
        <v>6400</v>
      </c>
      <c r="L313">
        <v>25600</v>
      </c>
      <c r="M313">
        <v>7025.24</v>
      </c>
      <c r="N313" t="s">
        <v>27</v>
      </c>
      <c r="O313" t="s">
        <v>35</v>
      </c>
      <c r="P313" t="str">
        <f t="shared" si="8"/>
        <v>High Value</v>
      </c>
      <c r="Q313" t="str">
        <f t="shared" si="9"/>
        <v>High</v>
      </c>
      <c r="R313" t="str" cm="1">
        <f t="array" ref="R313">_xlfn.IFS(L313&gt;50000,"Premium",L313&gt;20000,"High",L313&gt;5000,"Medium",TRUE,"Low")</f>
        <v>High</v>
      </c>
    </row>
    <row r="314" spans="1:18" x14ac:dyDescent="0.3">
      <c r="A314" t="s">
        <v>834</v>
      </c>
      <c r="B314" s="1">
        <v>44933</v>
      </c>
      <c r="C314" t="s">
        <v>280</v>
      </c>
      <c r="D314" t="s">
        <v>435</v>
      </c>
      <c r="E314" t="s">
        <v>78</v>
      </c>
      <c r="F314" t="s">
        <v>19</v>
      </c>
      <c r="G314" t="s">
        <v>107</v>
      </c>
      <c r="H314">
        <v>2</v>
      </c>
      <c r="I314">
        <v>4500</v>
      </c>
      <c r="J314">
        <v>5</v>
      </c>
      <c r="K314">
        <v>450</v>
      </c>
      <c r="L314">
        <v>8550</v>
      </c>
      <c r="M314">
        <v>935.71</v>
      </c>
      <c r="N314" t="s">
        <v>99</v>
      </c>
      <c r="O314" t="s">
        <v>35</v>
      </c>
      <c r="P314" t="str">
        <f t="shared" si="8"/>
        <v>Low Value</v>
      </c>
      <c r="Q314" t="str">
        <f t="shared" si="9"/>
        <v>Medium</v>
      </c>
      <c r="R314" t="str" cm="1">
        <f t="array" ref="R314">_xlfn.IFS(L314&gt;50000,"Premium",L314&gt;20000,"High",L314&gt;5000,"Medium",TRUE,"Low")</f>
        <v>Medium</v>
      </c>
    </row>
    <row r="315" spans="1:18" x14ac:dyDescent="0.3">
      <c r="A315" t="s">
        <v>835</v>
      </c>
      <c r="B315" s="1">
        <v>44960</v>
      </c>
      <c r="C315" t="s">
        <v>836</v>
      </c>
      <c r="D315" t="s">
        <v>837</v>
      </c>
      <c r="E315" t="s">
        <v>59</v>
      </c>
      <c r="F315" t="s">
        <v>69</v>
      </c>
      <c r="G315" t="s">
        <v>70</v>
      </c>
      <c r="H315">
        <v>4</v>
      </c>
      <c r="I315">
        <v>2499</v>
      </c>
      <c r="J315">
        <v>5</v>
      </c>
      <c r="K315">
        <v>499.8</v>
      </c>
      <c r="L315">
        <v>9496.2000000000007</v>
      </c>
      <c r="M315">
        <v>736.84</v>
      </c>
      <c r="N315" t="s">
        <v>41</v>
      </c>
      <c r="O315" t="s">
        <v>35</v>
      </c>
      <c r="P315" t="str">
        <f t="shared" si="8"/>
        <v>Low Value</v>
      </c>
      <c r="Q315" t="str">
        <f t="shared" si="9"/>
        <v>Medium</v>
      </c>
      <c r="R315" t="str" cm="1">
        <f t="array" ref="R315">_xlfn.IFS(L315&gt;50000,"Premium",L315&gt;20000,"High",L315&gt;5000,"Medium",TRUE,"Low")</f>
        <v>Medium</v>
      </c>
    </row>
    <row r="316" spans="1:18" x14ac:dyDescent="0.3">
      <c r="A316" t="s">
        <v>838</v>
      </c>
      <c r="B316" s="1">
        <v>45013</v>
      </c>
      <c r="C316" t="s">
        <v>839</v>
      </c>
      <c r="D316" t="s">
        <v>840</v>
      </c>
      <c r="E316" t="s">
        <v>48</v>
      </c>
      <c r="F316" t="s">
        <v>74</v>
      </c>
      <c r="G316" t="s">
        <v>75</v>
      </c>
      <c r="H316">
        <v>4</v>
      </c>
      <c r="I316">
        <v>2200</v>
      </c>
      <c r="J316">
        <v>15</v>
      </c>
      <c r="K316">
        <v>1320</v>
      </c>
      <c r="L316">
        <v>7480</v>
      </c>
      <c r="M316">
        <v>440.16</v>
      </c>
      <c r="N316" t="s">
        <v>27</v>
      </c>
      <c r="O316" t="s">
        <v>35</v>
      </c>
      <c r="P316" t="str">
        <f t="shared" si="8"/>
        <v>Low Value</v>
      </c>
      <c r="Q316" t="str">
        <f t="shared" si="9"/>
        <v>Medium</v>
      </c>
      <c r="R316" t="str" cm="1">
        <f t="array" ref="R316">_xlfn.IFS(L316&gt;50000,"Premium",L316&gt;20000,"High",L316&gt;5000,"Medium",TRUE,"Low")</f>
        <v>Medium</v>
      </c>
    </row>
    <row r="317" spans="1:18" x14ac:dyDescent="0.3">
      <c r="A317" t="s">
        <v>841</v>
      </c>
      <c r="B317" s="1">
        <v>45067</v>
      </c>
      <c r="C317" t="s">
        <v>571</v>
      </c>
      <c r="D317" t="s">
        <v>195</v>
      </c>
      <c r="E317" t="s">
        <v>54</v>
      </c>
      <c r="F317" t="s">
        <v>32</v>
      </c>
      <c r="G317" t="s">
        <v>259</v>
      </c>
      <c r="H317">
        <v>2</v>
      </c>
      <c r="I317">
        <v>450</v>
      </c>
      <c r="J317">
        <v>0</v>
      </c>
      <c r="K317">
        <v>0</v>
      </c>
      <c r="L317">
        <v>900</v>
      </c>
      <c r="M317">
        <v>210.81</v>
      </c>
      <c r="N317" t="s">
        <v>41</v>
      </c>
      <c r="O317" t="s">
        <v>95</v>
      </c>
      <c r="P317" t="str">
        <f t="shared" si="8"/>
        <v>Low Value</v>
      </c>
      <c r="Q317" t="str">
        <f t="shared" si="9"/>
        <v>Low</v>
      </c>
      <c r="R317" t="str" cm="1">
        <f t="array" ref="R317">_xlfn.IFS(L317&gt;50000,"Premium",L317&gt;20000,"High",L317&gt;5000,"Medium",TRUE,"Low")</f>
        <v>Low</v>
      </c>
    </row>
    <row r="318" spans="1:18" x14ac:dyDescent="0.3">
      <c r="A318" t="s">
        <v>842</v>
      </c>
      <c r="B318" s="1">
        <v>45172</v>
      </c>
      <c r="C318" t="s">
        <v>822</v>
      </c>
      <c r="D318" t="s">
        <v>646</v>
      </c>
      <c r="E318" t="s">
        <v>59</v>
      </c>
      <c r="F318" t="s">
        <v>19</v>
      </c>
      <c r="G318" t="s">
        <v>20</v>
      </c>
      <c r="H318">
        <v>3</v>
      </c>
      <c r="I318">
        <v>18000</v>
      </c>
      <c r="J318">
        <v>15</v>
      </c>
      <c r="K318">
        <v>8100</v>
      </c>
      <c r="L318">
        <v>45900</v>
      </c>
      <c r="M318">
        <v>4184.74</v>
      </c>
      <c r="N318" t="s">
        <v>41</v>
      </c>
      <c r="O318" t="s">
        <v>35</v>
      </c>
      <c r="P318" t="str">
        <f t="shared" si="8"/>
        <v>High Value</v>
      </c>
      <c r="Q318" t="str">
        <f t="shared" si="9"/>
        <v>High</v>
      </c>
      <c r="R318" t="str" cm="1">
        <f t="array" ref="R318">_xlfn.IFS(L318&gt;50000,"Premium",L318&gt;20000,"High",L318&gt;5000,"Medium",TRUE,"Low")</f>
        <v>High</v>
      </c>
    </row>
    <row r="319" spans="1:18" x14ac:dyDescent="0.3">
      <c r="A319" t="s">
        <v>843</v>
      </c>
      <c r="B319" s="1">
        <v>45172</v>
      </c>
      <c r="C319" t="s">
        <v>844</v>
      </c>
      <c r="D319" t="s">
        <v>401</v>
      </c>
      <c r="E319" t="s">
        <v>78</v>
      </c>
      <c r="F319" t="s">
        <v>74</v>
      </c>
      <c r="G319" t="s">
        <v>250</v>
      </c>
      <c r="H319">
        <v>4</v>
      </c>
      <c r="I319">
        <v>3500</v>
      </c>
      <c r="J319">
        <v>10</v>
      </c>
      <c r="K319">
        <v>1400</v>
      </c>
      <c r="L319">
        <v>12600</v>
      </c>
      <c r="M319">
        <v>4079.92</v>
      </c>
      <c r="N319" t="s">
        <v>27</v>
      </c>
      <c r="O319" t="s">
        <v>35</v>
      </c>
      <c r="P319" t="str">
        <f t="shared" si="8"/>
        <v>Low Value</v>
      </c>
      <c r="Q319" t="str">
        <f t="shared" si="9"/>
        <v>Medium</v>
      </c>
      <c r="R319" t="str" cm="1">
        <f t="array" ref="R319">_xlfn.IFS(L319&gt;50000,"Premium",L319&gt;20000,"High",L319&gt;5000,"Medium",TRUE,"Low")</f>
        <v>Medium</v>
      </c>
    </row>
    <row r="320" spans="1:18" x14ac:dyDescent="0.3">
      <c r="A320" t="s">
        <v>845</v>
      </c>
      <c r="B320" s="1">
        <v>45090</v>
      </c>
      <c r="C320" t="s">
        <v>323</v>
      </c>
      <c r="D320" t="s">
        <v>846</v>
      </c>
      <c r="E320" t="s">
        <v>31</v>
      </c>
      <c r="F320" t="s">
        <v>74</v>
      </c>
      <c r="G320" t="s">
        <v>381</v>
      </c>
      <c r="H320">
        <v>1</v>
      </c>
      <c r="I320">
        <v>800</v>
      </c>
      <c r="J320">
        <v>10</v>
      </c>
      <c r="K320">
        <v>80</v>
      </c>
      <c r="L320">
        <v>720</v>
      </c>
      <c r="M320">
        <v>48.66</v>
      </c>
      <c r="N320" t="s">
        <v>27</v>
      </c>
      <c r="O320" t="s">
        <v>35</v>
      </c>
      <c r="P320" t="str">
        <f t="shared" si="8"/>
        <v>Low Value</v>
      </c>
      <c r="Q320" t="str">
        <f t="shared" si="9"/>
        <v>Low</v>
      </c>
      <c r="R320" t="str" cm="1">
        <f t="array" ref="R320">_xlfn.IFS(L320&gt;50000,"Premium",L320&gt;20000,"High",L320&gt;5000,"Medium",TRUE,"Low")</f>
        <v>Low</v>
      </c>
    </row>
    <row r="321" spans="1:18" x14ac:dyDescent="0.3">
      <c r="A321" t="s">
        <v>847</v>
      </c>
      <c r="B321" s="1">
        <v>45053</v>
      </c>
      <c r="C321" t="s">
        <v>848</v>
      </c>
      <c r="D321" t="s">
        <v>58</v>
      </c>
      <c r="E321" t="s">
        <v>26</v>
      </c>
      <c r="F321" t="s">
        <v>60</v>
      </c>
      <c r="G321" t="s">
        <v>165</v>
      </c>
      <c r="H321">
        <v>3</v>
      </c>
      <c r="I321">
        <v>300</v>
      </c>
      <c r="J321">
        <v>20</v>
      </c>
      <c r="K321">
        <v>180</v>
      </c>
      <c r="L321">
        <v>720</v>
      </c>
      <c r="M321">
        <v>212.32</v>
      </c>
      <c r="N321" t="s">
        <v>34</v>
      </c>
      <c r="O321" t="s">
        <v>35</v>
      </c>
      <c r="P321" t="str">
        <f t="shared" si="8"/>
        <v>Low Value</v>
      </c>
      <c r="Q321" t="str">
        <f t="shared" si="9"/>
        <v>Low</v>
      </c>
      <c r="R321" t="str" cm="1">
        <f t="array" ref="R321">_xlfn.IFS(L321&gt;50000,"Premium",L321&gt;20000,"High",L321&gt;5000,"Medium",TRUE,"Low")</f>
        <v>Low</v>
      </c>
    </row>
    <row r="322" spans="1:18" x14ac:dyDescent="0.3">
      <c r="A322" t="s">
        <v>849</v>
      </c>
      <c r="B322" s="1">
        <v>45017</v>
      </c>
      <c r="C322" t="s">
        <v>320</v>
      </c>
      <c r="D322" t="s">
        <v>218</v>
      </c>
      <c r="E322" t="s">
        <v>48</v>
      </c>
      <c r="F322" t="s">
        <v>69</v>
      </c>
      <c r="G322" t="s">
        <v>243</v>
      </c>
      <c r="H322">
        <v>3</v>
      </c>
      <c r="I322">
        <v>1999</v>
      </c>
      <c r="J322">
        <v>25</v>
      </c>
      <c r="K322">
        <v>1499.25</v>
      </c>
      <c r="L322">
        <v>4497.75</v>
      </c>
      <c r="M322">
        <v>1166.21</v>
      </c>
      <c r="N322" t="s">
        <v>21</v>
      </c>
      <c r="O322" t="s">
        <v>95</v>
      </c>
      <c r="P322" t="str">
        <f t="shared" si="8"/>
        <v>Low Value</v>
      </c>
      <c r="Q322" t="str">
        <f t="shared" si="9"/>
        <v>Low</v>
      </c>
      <c r="R322" t="str" cm="1">
        <f t="array" ref="R322">_xlfn.IFS(L322&gt;50000,"Premium",L322&gt;20000,"High",L322&gt;5000,"Medium",TRUE,"Low")</f>
        <v>Low</v>
      </c>
    </row>
    <row r="323" spans="1:18" x14ac:dyDescent="0.3">
      <c r="A323" t="s">
        <v>850</v>
      </c>
      <c r="B323" s="1">
        <v>44999</v>
      </c>
      <c r="C323" t="s">
        <v>399</v>
      </c>
      <c r="D323" t="s">
        <v>425</v>
      </c>
      <c r="E323" t="s">
        <v>59</v>
      </c>
      <c r="F323" t="s">
        <v>74</v>
      </c>
      <c r="G323" t="s">
        <v>381</v>
      </c>
      <c r="H323">
        <v>4</v>
      </c>
      <c r="I323">
        <v>800</v>
      </c>
      <c r="J323">
        <v>20</v>
      </c>
      <c r="K323">
        <v>640</v>
      </c>
      <c r="L323">
        <v>2560</v>
      </c>
      <c r="M323">
        <v>365.35</v>
      </c>
      <c r="N323" t="s">
        <v>27</v>
      </c>
      <c r="O323" t="s">
        <v>95</v>
      </c>
      <c r="P323" t="str">
        <f t="shared" ref="P323:P386" si="10">IF(L323&gt;20000,"High Value","Low Value")</f>
        <v>Low Value</v>
      </c>
      <c r="Q323" t="str">
        <f t="shared" ref="Q323:Q386" si="11">IF(L323&gt;50000,"Premium",IF(L323&gt;20000,"High",IF(L323&gt;5000,"Medium","Low")))</f>
        <v>Low</v>
      </c>
      <c r="R323" t="str" cm="1">
        <f t="array" ref="R323">_xlfn.IFS(L323&gt;50000,"Premium",L323&gt;20000,"High",L323&gt;5000,"Medium",TRUE,"Low")</f>
        <v>Low</v>
      </c>
    </row>
    <row r="324" spans="1:18" x14ac:dyDescent="0.3">
      <c r="A324" t="s">
        <v>851</v>
      </c>
      <c r="B324" s="1">
        <v>45039</v>
      </c>
      <c r="C324" t="s">
        <v>852</v>
      </c>
      <c r="D324" t="s">
        <v>853</v>
      </c>
      <c r="E324" t="s">
        <v>48</v>
      </c>
      <c r="F324" t="s">
        <v>19</v>
      </c>
      <c r="G324" t="s">
        <v>130</v>
      </c>
      <c r="H324">
        <v>4</v>
      </c>
      <c r="I324">
        <v>22000</v>
      </c>
      <c r="J324">
        <v>0</v>
      </c>
      <c r="K324">
        <v>0</v>
      </c>
      <c r="L324">
        <v>88000</v>
      </c>
      <c r="M324">
        <v>13157.78</v>
      </c>
      <c r="N324" t="s">
        <v>27</v>
      </c>
      <c r="O324" t="s">
        <v>35</v>
      </c>
      <c r="P324" t="str">
        <f t="shared" si="10"/>
        <v>High Value</v>
      </c>
      <c r="Q324" t="str">
        <f t="shared" si="11"/>
        <v>Premium</v>
      </c>
      <c r="R324" t="str" cm="1">
        <f t="array" ref="R324">_xlfn.IFS(L324&gt;50000,"Premium",L324&gt;20000,"High",L324&gt;5000,"Medium",TRUE,"Low")</f>
        <v>Premium</v>
      </c>
    </row>
    <row r="325" spans="1:18" x14ac:dyDescent="0.3">
      <c r="A325" t="s">
        <v>854</v>
      </c>
      <c r="B325" s="1">
        <v>44957</v>
      </c>
      <c r="C325" t="s">
        <v>755</v>
      </c>
      <c r="D325" t="s">
        <v>855</v>
      </c>
      <c r="E325" t="s">
        <v>48</v>
      </c>
      <c r="F325" t="s">
        <v>19</v>
      </c>
      <c r="G325" t="s">
        <v>65</v>
      </c>
      <c r="H325">
        <v>5</v>
      </c>
      <c r="I325">
        <v>55000</v>
      </c>
      <c r="J325">
        <v>25</v>
      </c>
      <c r="K325">
        <v>68750</v>
      </c>
      <c r="L325">
        <v>206250</v>
      </c>
      <c r="M325">
        <v>67065.740000000005</v>
      </c>
      <c r="N325" t="s">
        <v>99</v>
      </c>
      <c r="O325" t="s">
        <v>35</v>
      </c>
      <c r="P325" t="str">
        <f t="shared" si="10"/>
        <v>High Value</v>
      </c>
      <c r="Q325" t="str">
        <f t="shared" si="11"/>
        <v>Premium</v>
      </c>
      <c r="R325" t="str" cm="1">
        <f t="array" ref="R325">_xlfn.IFS(L325&gt;50000,"Premium",L325&gt;20000,"High",L325&gt;5000,"Medium",TRUE,"Low")</f>
        <v>Premium</v>
      </c>
    </row>
    <row r="326" spans="1:18" x14ac:dyDescent="0.3">
      <c r="A326" t="s">
        <v>856</v>
      </c>
      <c r="B326" s="1">
        <v>45287</v>
      </c>
      <c r="C326" t="s">
        <v>857</v>
      </c>
      <c r="D326" t="s">
        <v>858</v>
      </c>
      <c r="E326" t="s">
        <v>26</v>
      </c>
      <c r="F326" t="s">
        <v>60</v>
      </c>
      <c r="G326" t="s">
        <v>365</v>
      </c>
      <c r="H326">
        <v>5</v>
      </c>
      <c r="I326">
        <v>650</v>
      </c>
      <c r="J326">
        <v>0</v>
      </c>
      <c r="K326">
        <v>0</v>
      </c>
      <c r="L326">
        <v>3250</v>
      </c>
      <c r="M326">
        <v>490.65</v>
      </c>
      <c r="N326" t="s">
        <v>41</v>
      </c>
      <c r="O326" t="s">
        <v>35</v>
      </c>
      <c r="P326" t="str">
        <f t="shared" si="10"/>
        <v>Low Value</v>
      </c>
      <c r="Q326" t="str">
        <f t="shared" si="11"/>
        <v>Low</v>
      </c>
      <c r="R326" t="str" cm="1">
        <f t="array" ref="R326">_xlfn.IFS(L326&gt;50000,"Premium",L326&gt;20000,"High",L326&gt;5000,"Medium",TRUE,"Low")</f>
        <v>Low</v>
      </c>
    </row>
    <row r="327" spans="1:18" x14ac:dyDescent="0.3">
      <c r="A327" t="s">
        <v>859</v>
      </c>
      <c r="B327" s="1">
        <v>45016</v>
      </c>
      <c r="C327" t="s">
        <v>101</v>
      </c>
      <c r="D327" t="s">
        <v>713</v>
      </c>
      <c r="E327" t="s">
        <v>78</v>
      </c>
      <c r="F327" t="s">
        <v>60</v>
      </c>
      <c r="G327" t="s">
        <v>61</v>
      </c>
      <c r="H327">
        <v>5</v>
      </c>
      <c r="I327">
        <v>850</v>
      </c>
      <c r="J327">
        <v>10</v>
      </c>
      <c r="K327">
        <v>425</v>
      </c>
      <c r="L327">
        <v>3825</v>
      </c>
      <c r="M327">
        <v>447.41</v>
      </c>
      <c r="N327" t="s">
        <v>34</v>
      </c>
      <c r="O327" t="s">
        <v>35</v>
      </c>
      <c r="P327" t="str">
        <f t="shared" si="10"/>
        <v>Low Value</v>
      </c>
      <c r="Q327" t="str">
        <f t="shared" si="11"/>
        <v>Low</v>
      </c>
      <c r="R327" t="str" cm="1">
        <f t="array" ref="R327">_xlfn.IFS(L327&gt;50000,"Premium",L327&gt;20000,"High",L327&gt;5000,"Medium",TRUE,"Low")</f>
        <v>Low</v>
      </c>
    </row>
    <row r="328" spans="1:18" x14ac:dyDescent="0.3">
      <c r="A328" t="s">
        <v>860</v>
      </c>
      <c r="B328" s="1">
        <v>45017</v>
      </c>
      <c r="C328" t="s">
        <v>474</v>
      </c>
      <c r="D328" t="s">
        <v>861</v>
      </c>
      <c r="E328" t="s">
        <v>83</v>
      </c>
      <c r="F328" t="s">
        <v>60</v>
      </c>
      <c r="G328" t="s">
        <v>291</v>
      </c>
      <c r="H328">
        <v>5</v>
      </c>
      <c r="I328">
        <v>450</v>
      </c>
      <c r="J328">
        <v>15</v>
      </c>
      <c r="K328">
        <v>337.5</v>
      </c>
      <c r="L328">
        <v>1912.5</v>
      </c>
      <c r="M328">
        <v>583.75</v>
      </c>
      <c r="N328" t="s">
        <v>21</v>
      </c>
      <c r="O328" t="s">
        <v>35</v>
      </c>
      <c r="P328" t="str">
        <f t="shared" si="10"/>
        <v>Low Value</v>
      </c>
      <c r="Q328" t="str">
        <f t="shared" si="11"/>
        <v>Low</v>
      </c>
      <c r="R328" t="str" cm="1">
        <f t="array" ref="R328">_xlfn.IFS(L328&gt;50000,"Premium",L328&gt;20000,"High",L328&gt;5000,"Medium",TRUE,"Low")</f>
        <v>Low</v>
      </c>
    </row>
    <row r="329" spans="1:18" x14ac:dyDescent="0.3">
      <c r="A329" t="s">
        <v>862</v>
      </c>
      <c r="B329" s="1">
        <v>45240</v>
      </c>
      <c r="C329" t="s">
        <v>743</v>
      </c>
      <c r="D329" t="s">
        <v>863</v>
      </c>
      <c r="E329" t="s">
        <v>31</v>
      </c>
      <c r="F329" t="s">
        <v>69</v>
      </c>
      <c r="G329" t="s">
        <v>70</v>
      </c>
      <c r="H329">
        <v>5</v>
      </c>
      <c r="I329">
        <v>2499</v>
      </c>
      <c r="J329">
        <v>0</v>
      </c>
      <c r="K329">
        <v>0</v>
      </c>
      <c r="L329">
        <v>12495</v>
      </c>
      <c r="M329">
        <v>4135.92</v>
      </c>
      <c r="N329" t="s">
        <v>34</v>
      </c>
      <c r="O329" t="s">
        <v>35</v>
      </c>
      <c r="P329" t="str">
        <f t="shared" si="10"/>
        <v>Low Value</v>
      </c>
      <c r="Q329" t="str">
        <f t="shared" si="11"/>
        <v>Medium</v>
      </c>
      <c r="R329" t="str" cm="1">
        <f t="array" ref="R329">_xlfn.IFS(L329&gt;50000,"Premium",L329&gt;20000,"High",L329&gt;5000,"Medium",TRUE,"Low")</f>
        <v>Medium</v>
      </c>
    </row>
    <row r="330" spans="1:18" x14ac:dyDescent="0.3">
      <c r="A330" t="s">
        <v>864</v>
      </c>
      <c r="B330" s="1">
        <v>45012</v>
      </c>
      <c r="C330" t="s">
        <v>865</v>
      </c>
      <c r="D330" t="s">
        <v>235</v>
      </c>
      <c r="E330" t="s">
        <v>48</v>
      </c>
      <c r="F330" t="s">
        <v>60</v>
      </c>
      <c r="G330" t="s">
        <v>291</v>
      </c>
      <c r="H330">
        <v>3</v>
      </c>
      <c r="I330">
        <v>450</v>
      </c>
      <c r="J330">
        <v>15</v>
      </c>
      <c r="K330">
        <v>202.5</v>
      </c>
      <c r="L330">
        <v>1147.5</v>
      </c>
      <c r="M330">
        <v>61.3</v>
      </c>
      <c r="N330" t="s">
        <v>34</v>
      </c>
      <c r="O330" t="s">
        <v>35</v>
      </c>
      <c r="P330" t="str">
        <f t="shared" si="10"/>
        <v>Low Value</v>
      </c>
      <c r="Q330" t="str">
        <f t="shared" si="11"/>
        <v>Low</v>
      </c>
      <c r="R330" t="str" cm="1">
        <f t="array" ref="R330">_xlfn.IFS(L330&gt;50000,"Premium",L330&gt;20000,"High",L330&gt;5000,"Medium",TRUE,"Low")</f>
        <v>Low</v>
      </c>
    </row>
    <row r="331" spans="1:18" x14ac:dyDescent="0.3">
      <c r="A331" t="s">
        <v>866</v>
      </c>
      <c r="B331" s="1">
        <v>44927</v>
      </c>
      <c r="C331" t="s">
        <v>703</v>
      </c>
      <c r="D331" t="s">
        <v>305</v>
      </c>
      <c r="E331" t="s">
        <v>26</v>
      </c>
      <c r="F331" t="s">
        <v>19</v>
      </c>
      <c r="G331" t="s">
        <v>229</v>
      </c>
      <c r="H331">
        <v>4</v>
      </c>
      <c r="I331">
        <v>8000</v>
      </c>
      <c r="J331">
        <v>25</v>
      </c>
      <c r="K331">
        <v>8000</v>
      </c>
      <c r="L331">
        <v>24000</v>
      </c>
      <c r="M331">
        <v>4221.5</v>
      </c>
      <c r="N331" t="s">
        <v>34</v>
      </c>
      <c r="O331" t="s">
        <v>95</v>
      </c>
      <c r="P331" t="str">
        <f t="shared" si="10"/>
        <v>High Value</v>
      </c>
      <c r="Q331" t="str">
        <f t="shared" si="11"/>
        <v>High</v>
      </c>
      <c r="R331" t="str" cm="1">
        <f t="array" ref="R331">_xlfn.IFS(L331&gt;50000,"Premium",L331&gt;20000,"High",L331&gt;5000,"Medium",TRUE,"Low")</f>
        <v>High</v>
      </c>
    </row>
    <row r="332" spans="1:18" x14ac:dyDescent="0.3">
      <c r="A332" t="s">
        <v>867</v>
      </c>
      <c r="B332" s="1">
        <v>45119</v>
      </c>
      <c r="C332" t="s">
        <v>868</v>
      </c>
      <c r="D332" t="s">
        <v>53</v>
      </c>
      <c r="E332" t="s">
        <v>54</v>
      </c>
      <c r="F332" t="s">
        <v>19</v>
      </c>
      <c r="G332" t="s">
        <v>107</v>
      </c>
      <c r="H332">
        <v>4</v>
      </c>
      <c r="I332">
        <v>4500</v>
      </c>
      <c r="J332">
        <v>20</v>
      </c>
      <c r="K332">
        <v>3600</v>
      </c>
      <c r="L332">
        <v>14400</v>
      </c>
      <c r="M332">
        <v>3532.19</v>
      </c>
      <c r="N332" t="s">
        <v>99</v>
      </c>
      <c r="O332" t="s">
        <v>35</v>
      </c>
      <c r="P332" t="str">
        <f t="shared" si="10"/>
        <v>Low Value</v>
      </c>
      <c r="Q332" t="str">
        <f t="shared" si="11"/>
        <v>Medium</v>
      </c>
      <c r="R332" t="str" cm="1">
        <f t="array" ref="R332">_xlfn.IFS(L332&gt;50000,"Premium",L332&gt;20000,"High",L332&gt;5000,"Medium",TRUE,"Low")</f>
        <v>Medium</v>
      </c>
    </row>
    <row r="333" spans="1:18" x14ac:dyDescent="0.3">
      <c r="A333" t="s">
        <v>869</v>
      </c>
      <c r="B333" s="1">
        <v>45077</v>
      </c>
      <c r="C333" t="s">
        <v>870</v>
      </c>
      <c r="D333" t="s">
        <v>225</v>
      </c>
      <c r="E333" t="s">
        <v>18</v>
      </c>
      <c r="F333" t="s">
        <v>19</v>
      </c>
      <c r="G333" t="s">
        <v>103</v>
      </c>
      <c r="H333">
        <v>3</v>
      </c>
      <c r="I333">
        <v>3500</v>
      </c>
      <c r="J333">
        <v>0</v>
      </c>
      <c r="K333">
        <v>0</v>
      </c>
      <c r="L333">
        <v>10500</v>
      </c>
      <c r="M333">
        <v>758.73</v>
      </c>
      <c r="N333" t="s">
        <v>21</v>
      </c>
      <c r="O333" t="s">
        <v>35</v>
      </c>
      <c r="P333" t="str">
        <f t="shared" si="10"/>
        <v>Low Value</v>
      </c>
      <c r="Q333" t="str">
        <f t="shared" si="11"/>
        <v>Medium</v>
      </c>
      <c r="R333" t="str" cm="1">
        <f t="array" ref="R333">_xlfn.IFS(L333&gt;50000,"Premium",L333&gt;20000,"High",L333&gt;5000,"Medium",TRUE,"Low")</f>
        <v>Medium</v>
      </c>
    </row>
    <row r="334" spans="1:18" x14ac:dyDescent="0.3">
      <c r="A334" t="s">
        <v>871</v>
      </c>
      <c r="B334" s="1">
        <v>45100</v>
      </c>
      <c r="C334" t="s">
        <v>872</v>
      </c>
      <c r="D334" t="s">
        <v>546</v>
      </c>
      <c r="E334" t="s">
        <v>26</v>
      </c>
      <c r="F334" t="s">
        <v>74</v>
      </c>
      <c r="G334" t="s">
        <v>144</v>
      </c>
      <c r="H334">
        <v>4</v>
      </c>
      <c r="I334">
        <v>1500</v>
      </c>
      <c r="J334">
        <v>25</v>
      </c>
      <c r="K334">
        <v>1500</v>
      </c>
      <c r="L334">
        <v>4500</v>
      </c>
      <c r="M334">
        <v>266.83999999999997</v>
      </c>
      <c r="N334" t="s">
        <v>27</v>
      </c>
      <c r="O334" t="s">
        <v>35</v>
      </c>
      <c r="P334" t="str">
        <f t="shared" si="10"/>
        <v>Low Value</v>
      </c>
      <c r="Q334" t="str">
        <f t="shared" si="11"/>
        <v>Low</v>
      </c>
      <c r="R334" t="str" cm="1">
        <f t="array" ref="R334">_xlfn.IFS(L334&gt;50000,"Premium",L334&gt;20000,"High",L334&gt;5000,"Medium",TRUE,"Low")</f>
        <v>Low</v>
      </c>
    </row>
    <row r="335" spans="1:18" x14ac:dyDescent="0.3">
      <c r="A335" t="s">
        <v>873</v>
      </c>
      <c r="B335" s="1">
        <v>44978</v>
      </c>
      <c r="C335" t="s">
        <v>811</v>
      </c>
      <c r="D335" t="s">
        <v>874</v>
      </c>
      <c r="E335" t="s">
        <v>78</v>
      </c>
      <c r="F335" t="s">
        <v>32</v>
      </c>
      <c r="G335" t="s">
        <v>148</v>
      </c>
      <c r="H335">
        <v>2</v>
      </c>
      <c r="I335">
        <v>120</v>
      </c>
      <c r="J335">
        <v>15</v>
      </c>
      <c r="K335">
        <v>36</v>
      </c>
      <c r="L335">
        <v>204</v>
      </c>
      <c r="M335">
        <v>52.87</v>
      </c>
      <c r="N335" t="s">
        <v>34</v>
      </c>
      <c r="O335" t="s">
        <v>35</v>
      </c>
      <c r="P335" t="str">
        <f t="shared" si="10"/>
        <v>Low Value</v>
      </c>
      <c r="Q335" t="str">
        <f t="shared" si="11"/>
        <v>Low</v>
      </c>
      <c r="R335" t="str" cm="1">
        <f t="array" ref="R335">_xlfn.IFS(L335&gt;50000,"Premium",L335&gt;20000,"High",L335&gt;5000,"Medium",TRUE,"Low")</f>
        <v>Low</v>
      </c>
    </row>
    <row r="336" spans="1:18" x14ac:dyDescent="0.3">
      <c r="A336" t="s">
        <v>875</v>
      </c>
      <c r="B336" s="1">
        <v>44976</v>
      </c>
      <c r="C336" t="s">
        <v>72</v>
      </c>
      <c r="D336" t="s">
        <v>876</v>
      </c>
      <c r="E336" t="s">
        <v>59</v>
      </c>
      <c r="F336" t="s">
        <v>19</v>
      </c>
      <c r="G336" t="s">
        <v>229</v>
      </c>
      <c r="H336">
        <v>5</v>
      </c>
      <c r="I336">
        <v>8000</v>
      </c>
      <c r="J336">
        <v>20</v>
      </c>
      <c r="K336">
        <v>8000</v>
      </c>
      <c r="L336">
        <v>32000</v>
      </c>
      <c r="M336">
        <v>9662.6</v>
      </c>
      <c r="N336" t="s">
        <v>41</v>
      </c>
      <c r="O336" t="s">
        <v>35</v>
      </c>
      <c r="P336" t="str">
        <f t="shared" si="10"/>
        <v>High Value</v>
      </c>
      <c r="Q336" t="str">
        <f t="shared" si="11"/>
        <v>High</v>
      </c>
      <c r="R336" t="str" cm="1">
        <f t="array" ref="R336">_xlfn.IFS(L336&gt;50000,"Premium",L336&gt;20000,"High",L336&gt;5000,"Medium",TRUE,"Low")</f>
        <v>High</v>
      </c>
    </row>
    <row r="337" spans="1:18" x14ac:dyDescent="0.3">
      <c r="A337" t="s">
        <v>877</v>
      </c>
      <c r="B337" s="1">
        <v>45077</v>
      </c>
      <c r="C337" t="s">
        <v>24</v>
      </c>
      <c r="D337" t="s">
        <v>878</v>
      </c>
      <c r="E337" t="s">
        <v>78</v>
      </c>
      <c r="F337" t="s">
        <v>49</v>
      </c>
      <c r="G337" t="s">
        <v>458</v>
      </c>
      <c r="H337">
        <v>5</v>
      </c>
      <c r="I337">
        <v>549</v>
      </c>
      <c r="J337">
        <v>15</v>
      </c>
      <c r="K337">
        <v>411.75</v>
      </c>
      <c r="L337">
        <v>2333.25</v>
      </c>
      <c r="M337">
        <v>256.43</v>
      </c>
      <c r="N337" t="s">
        <v>99</v>
      </c>
      <c r="O337" t="s">
        <v>22</v>
      </c>
      <c r="P337" t="str">
        <f t="shared" si="10"/>
        <v>Low Value</v>
      </c>
      <c r="Q337" t="str">
        <f t="shared" si="11"/>
        <v>Low</v>
      </c>
      <c r="R337" t="str" cm="1">
        <f t="array" ref="R337">_xlfn.IFS(L337&gt;50000,"Premium",L337&gt;20000,"High",L337&gt;5000,"Medium",TRUE,"Low")</f>
        <v>Low</v>
      </c>
    </row>
    <row r="338" spans="1:18" x14ac:dyDescent="0.3">
      <c r="A338" t="s">
        <v>879</v>
      </c>
      <c r="B338" s="1">
        <v>44986</v>
      </c>
      <c r="C338" t="s">
        <v>645</v>
      </c>
      <c r="D338" t="s">
        <v>880</v>
      </c>
      <c r="E338" t="s">
        <v>26</v>
      </c>
      <c r="F338" t="s">
        <v>32</v>
      </c>
      <c r="G338" t="s">
        <v>33</v>
      </c>
      <c r="H338">
        <v>4</v>
      </c>
      <c r="I338">
        <v>400</v>
      </c>
      <c r="J338">
        <v>15</v>
      </c>
      <c r="K338">
        <v>240</v>
      </c>
      <c r="L338">
        <v>1360</v>
      </c>
      <c r="M338">
        <v>267.55</v>
      </c>
      <c r="N338" t="s">
        <v>27</v>
      </c>
      <c r="O338" t="s">
        <v>35</v>
      </c>
      <c r="P338" t="str">
        <f t="shared" si="10"/>
        <v>Low Value</v>
      </c>
      <c r="Q338" t="str">
        <f t="shared" si="11"/>
        <v>Low</v>
      </c>
      <c r="R338" t="str" cm="1">
        <f t="array" ref="R338">_xlfn.IFS(L338&gt;50000,"Premium",L338&gt;20000,"High",L338&gt;5000,"Medium",TRUE,"Low")</f>
        <v>Low</v>
      </c>
    </row>
    <row r="339" spans="1:18" x14ac:dyDescent="0.3">
      <c r="A339" t="s">
        <v>881</v>
      </c>
      <c r="B339" s="1">
        <v>45122</v>
      </c>
      <c r="C339" t="s">
        <v>255</v>
      </c>
      <c r="D339" t="s">
        <v>882</v>
      </c>
      <c r="E339" t="s">
        <v>78</v>
      </c>
      <c r="F339" t="s">
        <v>32</v>
      </c>
      <c r="G339" t="s">
        <v>148</v>
      </c>
      <c r="H339">
        <v>4</v>
      </c>
      <c r="I339">
        <v>120</v>
      </c>
      <c r="J339">
        <v>0</v>
      </c>
      <c r="K339">
        <v>0</v>
      </c>
      <c r="L339">
        <v>480</v>
      </c>
      <c r="M339">
        <v>61.91</v>
      </c>
      <c r="N339" t="s">
        <v>21</v>
      </c>
      <c r="O339" t="s">
        <v>35</v>
      </c>
      <c r="P339" t="str">
        <f t="shared" si="10"/>
        <v>Low Value</v>
      </c>
      <c r="Q339" t="str">
        <f t="shared" si="11"/>
        <v>Low</v>
      </c>
      <c r="R339" t="str" cm="1">
        <f t="array" ref="R339">_xlfn.IFS(L339&gt;50000,"Premium",L339&gt;20000,"High",L339&gt;5000,"Medium",TRUE,"Low")</f>
        <v>Low</v>
      </c>
    </row>
    <row r="340" spans="1:18" x14ac:dyDescent="0.3">
      <c r="A340" t="s">
        <v>883</v>
      </c>
      <c r="B340" s="1">
        <v>45004</v>
      </c>
      <c r="C340" t="s">
        <v>37</v>
      </c>
      <c r="D340" t="s">
        <v>249</v>
      </c>
      <c r="E340" t="s">
        <v>31</v>
      </c>
      <c r="F340" t="s">
        <v>49</v>
      </c>
      <c r="G340" t="s">
        <v>458</v>
      </c>
      <c r="H340">
        <v>1</v>
      </c>
      <c r="I340">
        <v>549</v>
      </c>
      <c r="J340">
        <v>0</v>
      </c>
      <c r="K340">
        <v>0</v>
      </c>
      <c r="L340">
        <v>549</v>
      </c>
      <c r="M340">
        <v>137.49</v>
      </c>
      <c r="N340" t="s">
        <v>21</v>
      </c>
      <c r="O340" t="s">
        <v>35</v>
      </c>
      <c r="P340" t="str">
        <f t="shared" si="10"/>
        <v>Low Value</v>
      </c>
      <c r="Q340" t="str">
        <f t="shared" si="11"/>
        <v>Low</v>
      </c>
      <c r="R340" t="str" cm="1">
        <f t="array" ref="R340">_xlfn.IFS(L340&gt;50000,"Premium",L340&gt;20000,"High",L340&gt;5000,"Medium",TRUE,"Low")</f>
        <v>Low</v>
      </c>
    </row>
    <row r="341" spans="1:18" x14ac:dyDescent="0.3">
      <c r="A341" t="s">
        <v>884</v>
      </c>
      <c r="B341" s="1">
        <v>45125</v>
      </c>
      <c r="C341" t="s">
        <v>885</v>
      </c>
      <c r="D341" t="s">
        <v>886</v>
      </c>
      <c r="E341" t="s">
        <v>31</v>
      </c>
      <c r="F341" t="s">
        <v>49</v>
      </c>
      <c r="G341" t="s">
        <v>331</v>
      </c>
      <c r="H341">
        <v>4</v>
      </c>
      <c r="I341">
        <v>699</v>
      </c>
      <c r="J341">
        <v>20</v>
      </c>
      <c r="K341">
        <v>559.20000000000005</v>
      </c>
      <c r="L341">
        <v>2236.8000000000002</v>
      </c>
      <c r="M341">
        <v>572.89</v>
      </c>
      <c r="N341" t="s">
        <v>41</v>
      </c>
      <c r="O341" t="s">
        <v>35</v>
      </c>
      <c r="P341" t="str">
        <f t="shared" si="10"/>
        <v>Low Value</v>
      </c>
      <c r="Q341" t="str">
        <f t="shared" si="11"/>
        <v>Low</v>
      </c>
      <c r="R341" t="str" cm="1">
        <f t="array" ref="R341">_xlfn.IFS(L341&gt;50000,"Premium",L341&gt;20000,"High",L341&gt;5000,"Medium",TRUE,"Low")</f>
        <v>Low</v>
      </c>
    </row>
    <row r="342" spans="1:18" x14ac:dyDescent="0.3">
      <c r="A342" t="s">
        <v>887</v>
      </c>
      <c r="B342" s="1">
        <v>44967</v>
      </c>
      <c r="C342" t="s">
        <v>819</v>
      </c>
      <c r="D342" t="s">
        <v>888</v>
      </c>
      <c r="E342" t="s">
        <v>83</v>
      </c>
      <c r="F342" t="s">
        <v>39</v>
      </c>
      <c r="G342" t="s">
        <v>209</v>
      </c>
      <c r="H342">
        <v>1</v>
      </c>
      <c r="I342">
        <v>3200</v>
      </c>
      <c r="J342">
        <v>20</v>
      </c>
      <c r="K342">
        <v>640</v>
      </c>
      <c r="L342">
        <v>2560</v>
      </c>
      <c r="M342">
        <v>566.70000000000005</v>
      </c>
      <c r="N342" t="s">
        <v>99</v>
      </c>
      <c r="O342" t="s">
        <v>22</v>
      </c>
      <c r="P342" t="str">
        <f t="shared" si="10"/>
        <v>Low Value</v>
      </c>
      <c r="Q342" t="str">
        <f t="shared" si="11"/>
        <v>Low</v>
      </c>
      <c r="R342" t="str" cm="1">
        <f t="array" ref="R342">_xlfn.IFS(L342&gt;50000,"Premium",L342&gt;20000,"High",L342&gt;5000,"Medium",TRUE,"Low")</f>
        <v>Low</v>
      </c>
    </row>
    <row r="343" spans="1:18" x14ac:dyDescent="0.3">
      <c r="A343" t="s">
        <v>889</v>
      </c>
      <c r="B343" s="1">
        <v>45015</v>
      </c>
      <c r="C343" t="s">
        <v>890</v>
      </c>
      <c r="D343" t="s">
        <v>891</v>
      </c>
      <c r="E343" t="s">
        <v>83</v>
      </c>
      <c r="F343" t="s">
        <v>69</v>
      </c>
      <c r="G343" t="s">
        <v>202</v>
      </c>
      <c r="H343">
        <v>2</v>
      </c>
      <c r="I343">
        <v>1299</v>
      </c>
      <c r="J343">
        <v>5</v>
      </c>
      <c r="K343">
        <v>129.9</v>
      </c>
      <c r="L343">
        <v>2468.1</v>
      </c>
      <c r="M343">
        <v>155</v>
      </c>
      <c r="N343" t="s">
        <v>21</v>
      </c>
      <c r="O343" t="s">
        <v>35</v>
      </c>
      <c r="P343" t="str">
        <f t="shared" si="10"/>
        <v>Low Value</v>
      </c>
      <c r="Q343" t="str">
        <f t="shared" si="11"/>
        <v>Low</v>
      </c>
      <c r="R343" t="str" cm="1">
        <f t="array" ref="R343">_xlfn.IFS(L343&gt;50000,"Premium",L343&gt;20000,"High",L343&gt;5000,"Medium",TRUE,"Low")</f>
        <v>Low</v>
      </c>
    </row>
    <row r="344" spans="1:18" x14ac:dyDescent="0.3">
      <c r="A344" t="s">
        <v>892</v>
      </c>
      <c r="B344" s="1">
        <v>45090</v>
      </c>
      <c r="C344" t="s">
        <v>343</v>
      </c>
      <c r="D344" t="s">
        <v>893</v>
      </c>
      <c r="E344" t="s">
        <v>78</v>
      </c>
      <c r="F344" t="s">
        <v>60</v>
      </c>
      <c r="G344" t="s">
        <v>349</v>
      </c>
      <c r="H344">
        <v>1</v>
      </c>
      <c r="I344">
        <v>250</v>
      </c>
      <c r="J344">
        <v>0</v>
      </c>
      <c r="K344">
        <v>0</v>
      </c>
      <c r="L344">
        <v>250</v>
      </c>
      <c r="M344">
        <v>41.61</v>
      </c>
      <c r="N344" t="s">
        <v>21</v>
      </c>
      <c r="O344" t="s">
        <v>22</v>
      </c>
      <c r="P344" t="str">
        <f t="shared" si="10"/>
        <v>Low Value</v>
      </c>
      <c r="Q344" t="str">
        <f t="shared" si="11"/>
        <v>Low</v>
      </c>
      <c r="R344" t="str" cm="1">
        <f t="array" ref="R344">_xlfn.IFS(L344&gt;50000,"Premium",L344&gt;20000,"High",L344&gt;5000,"Medium",TRUE,"Low")</f>
        <v>Low</v>
      </c>
    </row>
    <row r="345" spans="1:18" x14ac:dyDescent="0.3">
      <c r="A345" t="s">
        <v>894</v>
      </c>
      <c r="B345" s="1">
        <v>44933</v>
      </c>
      <c r="C345" t="s">
        <v>557</v>
      </c>
      <c r="D345" t="s">
        <v>596</v>
      </c>
      <c r="E345" t="s">
        <v>83</v>
      </c>
      <c r="F345" t="s">
        <v>49</v>
      </c>
      <c r="G345" t="s">
        <v>458</v>
      </c>
      <c r="H345">
        <v>5</v>
      </c>
      <c r="I345">
        <v>549</v>
      </c>
      <c r="J345">
        <v>20</v>
      </c>
      <c r="K345">
        <v>549</v>
      </c>
      <c r="L345">
        <v>2196</v>
      </c>
      <c r="M345">
        <v>454.06</v>
      </c>
      <c r="N345" t="s">
        <v>27</v>
      </c>
      <c r="O345" t="s">
        <v>95</v>
      </c>
      <c r="P345" t="str">
        <f t="shared" si="10"/>
        <v>Low Value</v>
      </c>
      <c r="Q345" t="str">
        <f t="shared" si="11"/>
        <v>Low</v>
      </c>
      <c r="R345" t="str" cm="1">
        <f t="array" ref="R345">_xlfn.IFS(L345&gt;50000,"Premium",L345&gt;20000,"High",L345&gt;5000,"Medium",TRUE,"Low")</f>
        <v>Low</v>
      </c>
    </row>
    <row r="346" spans="1:18" x14ac:dyDescent="0.3">
      <c r="A346" t="s">
        <v>895</v>
      </c>
      <c r="B346" s="1">
        <v>45228</v>
      </c>
      <c r="C346" t="s">
        <v>896</v>
      </c>
      <c r="D346" t="s">
        <v>897</v>
      </c>
      <c r="E346" t="s">
        <v>48</v>
      </c>
      <c r="F346" t="s">
        <v>74</v>
      </c>
      <c r="G346" t="s">
        <v>250</v>
      </c>
      <c r="H346">
        <v>1</v>
      </c>
      <c r="I346">
        <v>3500</v>
      </c>
      <c r="J346">
        <v>0</v>
      </c>
      <c r="K346">
        <v>0</v>
      </c>
      <c r="L346">
        <v>3500</v>
      </c>
      <c r="M346">
        <v>765.82</v>
      </c>
      <c r="N346" t="s">
        <v>41</v>
      </c>
      <c r="O346" t="s">
        <v>35</v>
      </c>
      <c r="P346" t="str">
        <f t="shared" si="10"/>
        <v>Low Value</v>
      </c>
      <c r="Q346" t="str">
        <f t="shared" si="11"/>
        <v>Low</v>
      </c>
      <c r="R346" t="str" cm="1">
        <f t="array" ref="R346">_xlfn.IFS(L346&gt;50000,"Premium",L346&gt;20000,"High",L346&gt;5000,"Medium",TRUE,"Low")</f>
        <v>Low</v>
      </c>
    </row>
    <row r="347" spans="1:18" x14ac:dyDescent="0.3">
      <c r="A347" t="s">
        <v>898</v>
      </c>
      <c r="B347" s="1">
        <v>45123</v>
      </c>
      <c r="C347" t="s">
        <v>899</v>
      </c>
      <c r="D347" t="s">
        <v>900</v>
      </c>
      <c r="E347" t="s">
        <v>83</v>
      </c>
      <c r="F347" t="s">
        <v>60</v>
      </c>
      <c r="G347" t="s">
        <v>365</v>
      </c>
      <c r="H347">
        <v>5</v>
      </c>
      <c r="I347">
        <v>650</v>
      </c>
      <c r="J347">
        <v>20</v>
      </c>
      <c r="K347">
        <v>650</v>
      </c>
      <c r="L347">
        <v>2600</v>
      </c>
      <c r="M347">
        <v>498.98</v>
      </c>
      <c r="N347" t="s">
        <v>21</v>
      </c>
      <c r="O347" t="s">
        <v>95</v>
      </c>
      <c r="P347" t="str">
        <f t="shared" si="10"/>
        <v>Low Value</v>
      </c>
      <c r="Q347" t="str">
        <f t="shared" si="11"/>
        <v>Low</v>
      </c>
      <c r="R347" t="str" cm="1">
        <f t="array" ref="R347">_xlfn.IFS(L347&gt;50000,"Premium",L347&gt;20000,"High",L347&gt;5000,"Medium",TRUE,"Low")</f>
        <v>Low</v>
      </c>
    </row>
    <row r="348" spans="1:18" x14ac:dyDescent="0.3">
      <c r="A348" t="s">
        <v>901</v>
      </c>
      <c r="B348" s="1">
        <v>45275</v>
      </c>
      <c r="C348" t="s">
        <v>902</v>
      </c>
      <c r="D348" t="s">
        <v>580</v>
      </c>
      <c r="E348" t="s">
        <v>54</v>
      </c>
      <c r="F348" t="s">
        <v>60</v>
      </c>
      <c r="G348" t="s">
        <v>365</v>
      </c>
      <c r="H348">
        <v>1</v>
      </c>
      <c r="I348">
        <v>650</v>
      </c>
      <c r="J348">
        <v>15</v>
      </c>
      <c r="K348">
        <v>97.5</v>
      </c>
      <c r="L348">
        <v>552.5</v>
      </c>
      <c r="M348">
        <v>175.07</v>
      </c>
      <c r="N348" t="s">
        <v>34</v>
      </c>
      <c r="O348" t="s">
        <v>35</v>
      </c>
      <c r="P348" t="str">
        <f t="shared" si="10"/>
        <v>Low Value</v>
      </c>
      <c r="Q348" t="str">
        <f t="shared" si="11"/>
        <v>Low</v>
      </c>
      <c r="R348" t="str" cm="1">
        <f t="array" ref="R348">_xlfn.IFS(L348&gt;50000,"Premium",L348&gt;20000,"High",L348&gt;5000,"Medium",TRUE,"Low")</f>
        <v>Low</v>
      </c>
    </row>
    <row r="349" spans="1:18" x14ac:dyDescent="0.3">
      <c r="A349" t="s">
        <v>903</v>
      </c>
      <c r="B349" s="1">
        <v>44937</v>
      </c>
      <c r="C349" t="s">
        <v>399</v>
      </c>
      <c r="D349" t="s">
        <v>114</v>
      </c>
      <c r="E349" t="s">
        <v>83</v>
      </c>
      <c r="F349" t="s">
        <v>32</v>
      </c>
      <c r="G349" t="s">
        <v>33</v>
      </c>
      <c r="H349">
        <v>3</v>
      </c>
      <c r="I349">
        <v>400</v>
      </c>
      <c r="J349">
        <v>10</v>
      </c>
      <c r="K349">
        <v>120</v>
      </c>
      <c r="L349">
        <v>1080</v>
      </c>
      <c r="M349">
        <v>144.83000000000001</v>
      </c>
      <c r="N349" t="s">
        <v>34</v>
      </c>
      <c r="O349" t="s">
        <v>22</v>
      </c>
      <c r="P349" t="str">
        <f t="shared" si="10"/>
        <v>Low Value</v>
      </c>
      <c r="Q349" t="str">
        <f t="shared" si="11"/>
        <v>Low</v>
      </c>
      <c r="R349" t="str" cm="1">
        <f t="array" ref="R349">_xlfn.IFS(L349&gt;50000,"Premium",L349&gt;20000,"High",L349&gt;5000,"Medium",TRUE,"Low")</f>
        <v>Low</v>
      </c>
    </row>
    <row r="350" spans="1:18" x14ac:dyDescent="0.3">
      <c r="A350" t="s">
        <v>904</v>
      </c>
      <c r="B350" s="1">
        <v>45091</v>
      </c>
      <c r="C350" t="s">
        <v>905</v>
      </c>
      <c r="D350" t="s">
        <v>906</v>
      </c>
      <c r="E350" t="s">
        <v>26</v>
      </c>
      <c r="F350" t="s">
        <v>32</v>
      </c>
      <c r="G350" t="s">
        <v>55</v>
      </c>
      <c r="H350">
        <v>4</v>
      </c>
      <c r="I350">
        <v>250</v>
      </c>
      <c r="J350">
        <v>20</v>
      </c>
      <c r="K350">
        <v>200</v>
      </c>
      <c r="L350">
        <v>800</v>
      </c>
      <c r="M350">
        <v>194.93</v>
      </c>
      <c r="N350" t="s">
        <v>41</v>
      </c>
      <c r="O350" t="s">
        <v>95</v>
      </c>
      <c r="P350" t="str">
        <f t="shared" si="10"/>
        <v>Low Value</v>
      </c>
      <c r="Q350" t="str">
        <f t="shared" si="11"/>
        <v>Low</v>
      </c>
      <c r="R350" t="str" cm="1">
        <f t="array" ref="R350">_xlfn.IFS(L350&gt;50000,"Premium",L350&gt;20000,"High",L350&gt;5000,"Medium",TRUE,"Low")</f>
        <v>Low</v>
      </c>
    </row>
    <row r="351" spans="1:18" x14ac:dyDescent="0.3">
      <c r="A351" t="s">
        <v>907</v>
      </c>
      <c r="B351" s="1">
        <v>45118</v>
      </c>
      <c r="C351" t="s">
        <v>908</v>
      </c>
      <c r="D351" t="s">
        <v>744</v>
      </c>
      <c r="E351" t="s">
        <v>83</v>
      </c>
      <c r="F351" t="s">
        <v>49</v>
      </c>
      <c r="G351" t="s">
        <v>50</v>
      </c>
      <c r="H351">
        <v>5</v>
      </c>
      <c r="I351">
        <v>499</v>
      </c>
      <c r="J351">
        <v>5</v>
      </c>
      <c r="K351">
        <v>124.75</v>
      </c>
      <c r="L351">
        <v>2370.25</v>
      </c>
      <c r="M351">
        <v>165.17</v>
      </c>
      <c r="N351" t="s">
        <v>21</v>
      </c>
      <c r="O351" t="s">
        <v>95</v>
      </c>
      <c r="P351" t="str">
        <f t="shared" si="10"/>
        <v>Low Value</v>
      </c>
      <c r="Q351" t="str">
        <f t="shared" si="11"/>
        <v>Low</v>
      </c>
      <c r="R351" t="str" cm="1">
        <f t="array" ref="R351">_xlfn.IFS(L351&gt;50000,"Premium",L351&gt;20000,"High",L351&gt;5000,"Medium",TRUE,"Low")</f>
        <v>Low</v>
      </c>
    </row>
    <row r="352" spans="1:18" x14ac:dyDescent="0.3">
      <c r="A352" t="s">
        <v>909</v>
      </c>
      <c r="B352" s="1">
        <v>44941</v>
      </c>
      <c r="C352" t="s">
        <v>730</v>
      </c>
      <c r="D352" t="s">
        <v>876</v>
      </c>
      <c r="E352" t="s">
        <v>31</v>
      </c>
      <c r="F352" t="s">
        <v>69</v>
      </c>
      <c r="G352" t="s">
        <v>202</v>
      </c>
      <c r="H352">
        <v>2</v>
      </c>
      <c r="I352">
        <v>1299</v>
      </c>
      <c r="J352">
        <v>0</v>
      </c>
      <c r="K352">
        <v>0</v>
      </c>
      <c r="L352">
        <v>2598</v>
      </c>
      <c r="M352">
        <v>324.35000000000002</v>
      </c>
      <c r="N352" t="s">
        <v>34</v>
      </c>
      <c r="O352" t="s">
        <v>35</v>
      </c>
      <c r="P352" t="str">
        <f t="shared" si="10"/>
        <v>Low Value</v>
      </c>
      <c r="Q352" t="str">
        <f t="shared" si="11"/>
        <v>Low</v>
      </c>
      <c r="R352" t="str" cm="1">
        <f t="array" ref="R352">_xlfn.IFS(L352&gt;50000,"Premium",L352&gt;20000,"High",L352&gt;5000,"Medium",TRUE,"Low")</f>
        <v>Low</v>
      </c>
    </row>
    <row r="353" spans="1:18" x14ac:dyDescent="0.3">
      <c r="A353" t="s">
        <v>910</v>
      </c>
      <c r="B353" s="1">
        <v>45164</v>
      </c>
      <c r="C353" t="s">
        <v>911</v>
      </c>
      <c r="D353" t="s">
        <v>912</v>
      </c>
      <c r="E353" t="s">
        <v>54</v>
      </c>
      <c r="F353" t="s">
        <v>74</v>
      </c>
      <c r="G353" t="s">
        <v>75</v>
      </c>
      <c r="H353">
        <v>1</v>
      </c>
      <c r="I353">
        <v>2200</v>
      </c>
      <c r="J353">
        <v>25</v>
      </c>
      <c r="K353">
        <v>550</v>
      </c>
      <c r="L353">
        <v>1650</v>
      </c>
      <c r="M353">
        <v>97.63</v>
      </c>
      <c r="N353" t="s">
        <v>27</v>
      </c>
      <c r="O353" t="s">
        <v>22</v>
      </c>
      <c r="P353" t="str">
        <f t="shared" si="10"/>
        <v>Low Value</v>
      </c>
      <c r="Q353" t="str">
        <f t="shared" si="11"/>
        <v>Low</v>
      </c>
      <c r="R353" t="str" cm="1">
        <f t="array" ref="R353">_xlfn.IFS(L353&gt;50000,"Premium",L353&gt;20000,"High",L353&gt;5000,"Medium",TRUE,"Low")</f>
        <v>Low</v>
      </c>
    </row>
    <row r="354" spans="1:18" x14ac:dyDescent="0.3">
      <c r="A354" t="s">
        <v>913</v>
      </c>
      <c r="B354" s="1">
        <v>45227</v>
      </c>
      <c r="C354" t="s">
        <v>914</v>
      </c>
      <c r="D354" t="s">
        <v>915</v>
      </c>
      <c r="E354" t="s">
        <v>59</v>
      </c>
      <c r="F354" t="s">
        <v>74</v>
      </c>
      <c r="G354" t="s">
        <v>341</v>
      </c>
      <c r="H354">
        <v>3</v>
      </c>
      <c r="I354">
        <v>700</v>
      </c>
      <c r="J354">
        <v>5</v>
      </c>
      <c r="K354">
        <v>105</v>
      </c>
      <c r="L354">
        <v>1995</v>
      </c>
      <c r="M354">
        <v>601.09</v>
      </c>
      <c r="N354" t="s">
        <v>41</v>
      </c>
      <c r="O354" t="s">
        <v>35</v>
      </c>
      <c r="P354" t="str">
        <f t="shared" si="10"/>
        <v>Low Value</v>
      </c>
      <c r="Q354" t="str">
        <f t="shared" si="11"/>
        <v>Low</v>
      </c>
      <c r="R354" t="str" cm="1">
        <f t="array" ref="R354">_xlfn.IFS(L354&gt;50000,"Premium",L354&gt;20000,"High",L354&gt;5000,"Medium",TRUE,"Low")</f>
        <v>Low</v>
      </c>
    </row>
    <row r="355" spans="1:18" x14ac:dyDescent="0.3">
      <c r="A355" t="s">
        <v>916</v>
      </c>
      <c r="B355" s="1">
        <v>45010</v>
      </c>
      <c r="C355" t="s">
        <v>769</v>
      </c>
      <c r="D355" t="s">
        <v>917</v>
      </c>
      <c r="E355" t="s">
        <v>26</v>
      </c>
      <c r="F355" t="s">
        <v>49</v>
      </c>
      <c r="G355" t="s">
        <v>331</v>
      </c>
      <c r="H355">
        <v>2</v>
      </c>
      <c r="I355">
        <v>699</v>
      </c>
      <c r="J355">
        <v>5</v>
      </c>
      <c r="K355">
        <v>69.900000000000006</v>
      </c>
      <c r="L355">
        <v>1328.1</v>
      </c>
      <c r="M355">
        <v>324.33999999999997</v>
      </c>
      <c r="N355" t="s">
        <v>21</v>
      </c>
      <c r="O355" t="s">
        <v>35</v>
      </c>
      <c r="P355" t="str">
        <f t="shared" si="10"/>
        <v>Low Value</v>
      </c>
      <c r="Q355" t="str">
        <f t="shared" si="11"/>
        <v>Low</v>
      </c>
      <c r="R355" t="str" cm="1">
        <f t="array" ref="R355">_xlfn.IFS(L355&gt;50000,"Premium",L355&gt;20000,"High",L355&gt;5000,"Medium",TRUE,"Low")</f>
        <v>Low</v>
      </c>
    </row>
    <row r="356" spans="1:18" x14ac:dyDescent="0.3">
      <c r="A356" t="s">
        <v>918</v>
      </c>
      <c r="B356" s="1">
        <v>45276</v>
      </c>
      <c r="C356" t="s">
        <v>919</v>
      </c>
      <c r="D356" t="s">
        <v>920</v>
      </c>
      <c r="E356" t="s">
        <v>78</v>
      </c>
      <c r="F356" t="s">
        <v>19</v>
      </c>
      <c r="G356" t="s">
        <v>229</v>
      </c>
      <c r="H356">
        <v>2</v>
      </c>
      <c r="I356">
        <v>8000</v>
      </c>
      <c r="J356">
        <v>25</v>
      </c>
      <c r="K356">
        <v>4000</v>
      </c>
      <c r="L356">
        <v>12000</v>
      </c>
      <c r="M356">
        <v>1223.52</v>
      </c>
      <c r="N356" t="s">
        <v>21</v>
      </c>
      <c r="O356" t="s">
        <v>35</v>
      </c>
      <c r="P356" t="str">
        <f t="shared" si="10"/>
        <v>Low Value</v>
      </c>
      <c r="Q356" t="str">
        <f t="shared" si="11"/>
        <v>Medium</v>
      </c>
      <c r="R356" t="str" cm="1">
        <f t="array" ref="R356">_xlfn.IFS(L356&gt;50000,"Premium",L356&gt;20000,"High",L356&gt;5000,"Medium",TRUE,"Low")</f>
        <v>Medium</v>
      </c>
    </row>
    <row r="357" spans="1:18" x14ac:dyDescent="0.3">
      <c r="A357" t="s">
        <v>921</v>
      </c>
      <c r="B357" s="1">
        <v>45291</v>
      </c>
      <c r="C357" t="s">
        <v>922</v>
      </c>
      <c r="D357" t="s">
        <v>98</v>
      </c>
      <c r="E357" t="s">
        <v>78</v>
      </c>
      <c r="F357" t="s">
        <v>60</v>
      </c>
      <c r="G357" t="s">
        <v>115</v>
      </c>
      <c r="H357">
        <v>3</v>
      </c>
      <c r="I357">
        <v>1800</v>
      </c>
      <c r="J357">
        <v>15</v>
      </c>
      <c r="K357">
        <v>810</v>
      </c>
      <c r="L357">
        <v>4590</v>
      </c>
      <c r="M357">
        <v>1462.58</v>
      </c>
      <c r="N357" t="s">
        <v>27</v>
      </c>
      <c r="O357" t="s">
        <v>22</v>
      </c>
      <c r="P357" t="str">
        <f t="shared" si="10"/>
        <v>Low Value</v>
      </c>
      <c r="Q357" t="str">
        <f t="shared" si="11"/>
        <v>Low</v>
      </c>
      <c r="R357" t="str" cm="1">
        <f t="array" ref="R357">_xlfn.IFS(L357&gt;50000,"Premium",L357&gt;20000,"High",L357&gt;5000,"Medium",TRUE,"Low")</f>
        <v>Low</v>
      </c>
    </row>
    <row r="358" spans="1:18" x14ac:dyDescent="0.3">
      <c r="A358" t="s">
        <v>923</v>
      </c>
      <c r="B358" s="1">
        <v>45081</v>
      </c>
      <c r="C358" t="s">
        <v>924</v>
      </c>
      <c r="D358" t="s">
        <v>846</v>
      </c>
      <c r="E358" t="s">
        <v>78</v>
      </c>
      <c r="F358" t="s">
        <v>60</v>
      </c>
      <c r="G358" t="s">
        <v>61</v>
      </c>
      <c r="H358">
        <v>5</v>
      </c>
      <c r="I358">
        <v>850</v>
      </c>
      <c r="J358">
        <v>15</v>
      </c>
      <c r="K358">
        <v>637.5</v>
      </c>
      <c r="L358">
        <v>3612.5</v>
      </c>
      <c r="M358">
        <v>814.06</v>
      </c>
      <c r="N358" t="s">
        <v>34</v>
      </c>
      <c r="O358" t="s">
        <v>35</v>
      </c>
      <c r="P358" t="str">
        <f t="shared" si="10"/>
        <v>Low Value</v>
      </c>
      <c r="Q358" t="str">
        <f t="shared" si="11"/>
        <v>Low</v>
      </c>
      <c r="R358" t="str" cm="1">
        <f t="array" ref="R358">_xlfn.IFS(L358&gt;50000,"Premium",L358&gt;20000,"High",L358&gt;5000,"Medium",TRUE,"Low")</f>
        <v>Low</v>
      </c>
    </row>
    <row r="359" spans="1:18" x14ac:dyDescent="0.3">
      <c r="A359" t="s">
        <v>925</v>
      </c>
      <c r="B359" s="1">
        <v>45173</v>
      </c>
      <c r="C359" t="s">
        <v>926</v>
      </c>
      <c r="D359" t="s">
        <v>589</v>
      </c>
      <c r="E359" t="s">
        <v>31</v>
      </c>
      <c r="F359" t="s">
        <v>19</v>
      </c>
      <c r="G359" t="s">
        <v>103</v>
      </c>
      <c r="H359">
        <v>3</v>
      </c>
      <c r="I359">
        <v>3500</v>
      </c>
      <c r="J359">
        <v>25</v>
      </c>
      <c r="K359">
        <v>2625</v>
      </c>
      <c r="L359">
        <v>7875</v>
      </c>
      <c r="M359">
        <v>1161.8900000000001</v>
      </c>
      <c r="N359" t="s">
        <v>27</v>
      </c>
      <c r="O359" t="s">
        <v>95</v>
      </c>
      <c r="P359" t="str">
        <f t="shared" si="10"/>
        <v>Low Value</v>
      </c>
      <c r="Q359" t="str">
        <f t="shared" si="11"/>
        <v>Medium</v>
      </c>
      <c r="R359" t="str" cm="1">
        <f t="array" ref="R359">_xlfn.IFS(L359&gt;50000,"Premium",L359&gt;20000,"High",L359&gt;5000,"Medium",TRUE,"Low")</f>
        <v>Medium</v>
      </c>
    </row>
    <row r="360" spans="1:18" x14ac:dyDescent="0.3">
      <c r="A360" t="s">
        <v>927</v>
      </c>
      <c r="B360" s="1">
        <v>45050</v>
      </c>
      <c r="C360" t="s">
        <v>579</v>
      </c>
      <c r="D360" t="s">
        <v>393</v>
      </c>
      <c r="E360" t="s">
        <v>54</v>
      </c>
      <c r="F360" t="s">
        <v>19</v>
      </c>
      <c r="G360" t="s">
        <v>107</v>
      </c>
      <c r="H360">
        <v>5</v>
      </c>
      <c r="I360">
        <v>4500</v>
      </c>
      <c r="J360">
        <v>15</v>
      </c>
      <c r="K360">
        <v>3375</v>
      </c>
      <c r="L360">
        <v>19125</v>
      </c>
      <c r="M360">
        <v>4746.04</v>
      </c>
      <c r="N360" t="s">
        <v>34</v>
      </c>
      <c r="O360" t="s">
        <v>35</v>
      </c>
      <c r="P360" t="str">
        <f t="shared" si="10"/>
        <v>Low Value</v>
      </c>
      <c r="Q360" t="str">
        <f t="shared" si="11"/>
        <v>Medium</v>
      </c>
      <c r="R360" t="str" cm="1">
        <f t="array" ref="R360">_xlfn.IFS(L360&gt;50000,"Premium",L360&gt;20000,"High",L360&gt;5000,"Medium",TRUE,"Low")</f>
        <v>Medium</v>
      </c>
    </row>
    <row r="361" spans="1:18" x14ac:dyDescent="0.3">
      <c r="A361" t="s">
        <v>928</v>
      </c>
      <c r="B361" s="1">
        <v>45141</v>
      </c>
      <c r="C361" t="s">
        <v>457</v>
      </c>
      <c r="D361" t="s">
        <v>151</v>
      </c>
      <c r="E361" t="s">
        <v>31</v>
      </c>
      <c r="F361" t="s">
        <v>39</v>
      </c>
      <c r="G361" t="s">
        <v>219</v>
      </c>
      <c r="H361">
        <v>1</v>
      </c>
      <c r="I361">
        <v>18000</v>
      </c>
      <c r="J361">
        <v>20</v>
      </c>
      <c r="K361">
        <v>3600</v>
      </c>
      <c r="L361">
        <v>14400</v>
      </c>
      <c r="M361">
        <v>3778.86</v>
      </c>
      <c r="N361" t="s">
        <v>21</v>
      </c>
      <c r="O361" t="s">
        <v>22</v>
      </c>
      <c r="P361" t="str">
        <f t="shared" si="10"/>
        <v>Low Value</v>
      </c>
      <c r="Q361" t="str">
        <f t="shared" si="11"/>
        <v>Medium</v>
      </c>
      <c r="R361" t="str" cm="1">
        <f t="array" ref="R361">_xlfn.IFS(L361&gt;50000,"Premium",L361&gt;20000,"High",L361&gt;5000,"Medium",TRUE,"Low")</f>
        <v>Medium</v>
      </c>
    </row>
    <row r="362" spans="1:18" x14ac:dyDescent="0.3">
      <c r="A362" t="s">
        <v>929</v>
      </c>
      <c r="B362" s="1">
        <v>45270</v>
      </c>
      <c r="C362" t="s">
        <v>81</v>
      </c>
      <c r="D362" t="s">
        <v>930</v>
      </c>
      <c r="E362" t="s">
        <v>78</v>
      </c>
      <c r="F362" t="s">
        <v>32</v>
      </c>
      <c r="G362" t="s">
        <v>361</v>
      </c>
      <c r="H362">
        <v>3</v>
      </c>
      <c r="I362">
        <v>90</v>
      </c>
      <c r="J362">
        <v>5</v>
      </c>
      <c r="K362">
        <v>13.5</v>
      </c>
      <c r="L362">
        <v>256.5</v>
      </c>
      <c r="M362">
        <v>77.510000000000005</v>
      </c>
      <c r="N362" t="s">
        <v>99</v>
      </c>
      <c r="O362" t="s">
        <v>22</v>
      </c>
      <c r="P362" t="str">
        <f t="shared" si="10"/>
        <v>Low Value</v>
      </c>
      <c r="Q362" t="str">
        <f t="shared" si="11"/>
        <v>Low</v>
      </c>
      <c r="R362" t="str" cm="1">
        <f t="array" ref="R362">_xlfn.IFS(L362&gt;50000,"Premium",L362&gt;20000,"High",L362&gt;5000,"Medium",TRUE,"Low")</f>
        <v>Low</v>
      </c>
    </row>
    <row r="363" spans="1:18" x14ac:dyDescent="0.3">
      <c r="A363" t="s">
        <v>931</v>
      </c>
      <c r="B363" s="1">
        <v>44992</v>
      </c>
      <c r="C363" t="s">
        <v>932</v>
      </c>
      <c r="D363" t="s">
        <v>863</v>
      </c>
      <c r="E363" t="s">
        <v>31</v>
      </c>
      <c r="F363" t="s">
        <v>60</v>
      </c>
      <c r="G363" t="s">
        <v>141</v>
      </c>
      <c r="H363">
        <v>5</v>
      </c>
      <c r="I363">
        <v>350</v>
      </c>
      <c r="J363">
        <v>5</v>
      </c>
      <c r="K363">
        <v>87.5</v>
      </c>
      <c r="L363">
        <v>1662.5</v>
      </c>
      <c r="M363">
        <v>555.4</v>
      </c>
      <c r="N363" t="s">
        <v>34</v>
      </c>
      <c r="O363" t="s">
        <v>35</v>
      </c>
      <c r="P363" t="str">
        <f t="shared" si="10"/>
        <v>Low Value</v>
      </c>
      <c r="Q363" t="str">
        <f t="shared" si="11"/>
        <v>Low</v>
      </c>
      <c r="R363" t="str" cm="1">
        <f t="array" ref="R363">_xlfn.IFS(L363&gt;50000,"Premium",L363&gt;20000,"High",L363&gt;5000,"Medium",TRUE,"Low")</f>
        <v>Low</v>
      </c>
    </row>
    <row r="364" spans="1:18" x14ac:dyDescent="0.3">
      <c r="A364" t="s">
        <v>933</v>
      </c>
      <c r="B364" s="1">
        <v>45084</v>
      </c>
      <c r="C364" t="s">
        <v>934</v>
      </c>
      <c r="D364" t="s">
        <v>555</v>
      </c>
      <c r="E364" t="s">
        <v>54</v>
      </c>
      <c r="F364" t="s">
        <v>39</v>
      </c>
      <c r="G364" t="s">
        <v>209</v>
      </c>
      <c r="H364">
        <v>3</v>
      </c>
      <c r="I364">
        <v>3200</v>
      </c>
      <c r="J364">
        <v>10</v>
      </c>
      <c r="K364">
        <v>960</v>
      </c>
      <c r="L364">
        <v>8640</v>
      </c>
      <c r="M364">
        <v>1107.3699999999999</v>
      </c>
      <c r="N364" t="s">
        <v>99</v>
      </c>
      <c r="O364" t="s">
        <v>95</v>
      </c>
      <c r="P364" t="str">
        <f t="shared" si="10"/>
        <v>Low Value</v>
      </c>
      <c r="Q364" t="str">
        <f t="shared" si="11"/>
        <v>Medium</v>
      </c>
      <c r="R364" t="str" cm="1">
        <f t="array" ref="R364">_xlfn.IFS(L364&gt;50000,"Premium",L364&gt;20000,"High",L364&gt;5000,"Medium",TRUE,"Low")</f>
        <v>Medium</v>
      </c>
    </row>
    <row r="365" spans="1:18" x14ac:dyDescent="0.3">
      <c r="A365" t="s">
        <v>935</v>
      </c>
      <c r="B365" s="1">
        <v>45224</v>
      </c>
      <c r="C365" t="s">
        <v>936</v>
      </c>
      <c r="D365" t="s">
        <v>312</v>
      </c>
      <c r="E365" t="s">
        <v>78</v>
      </c>
      <c r="F365" t="s">
        <v>74</v>
      </c>
      <c r="G365" t="s">
        <v>137</v>
      </c>
      <c r="H365">
        <v>4</v>
      </c>
      <c r="I365">
        <v>2500</v>
      </c>
      <c r="J365">
        <v>5</v>
      </c>
      <c r="K365">
        <v>500</v>
      </c>
      <c r="L365">
        <v>9500</v>
      </c>
      <c r="M365">
        <v>1901.36</v>
      </c>
      <c r="N365" t="s">
        <v>41</v>
      </c>
      <c r="O365" t="s">
        <v>35</v>
      </c>
      <c r="P365" t="str">
        <f t="shared" si="10"/>
        <v>Low Value</v>
      </c>
      <c r="Q365" t="str">
        <f t="shared" si="11"/>
        <v>Medium</v>
      </c>
      <c r="R365" t="str" cm="1">
        <f t="array" ref="R365">_xlfn.IFS(L365&gt;50000,"Premium",L365&gt;20000,"High",L365&gt;5000,"Medium",TRUE,"Low")</f>
        <v>Medium</v>
      </c>
    </row>
    <row r="366" spans="1:18" x14ac:dyDescent="0.3">
      <c r="A366" t="s">
        <v>937</v>
      </c>
      <c r="B366" s="1">
        <v>45004</v>
      </c>
      <c r="C366" t="s">
        <v>938</v>
      </c>
      <c r="D366" t="s">
        <v>939</v>
      </c>
      <c r="E366" t="s">
        <v>48</v>
      </c>
      <c r="F366" t="s">
        <v>69</v>
      </c>
      <c r="G366" t="s">
        <v>202</v>
      </c>
      <c r="H366">
        <v>3</v>
      </c>
      <c r="I366">
        <v>1299</v>
      </c>
      <c r="J366">
        <v>15</v>
      </c>
      <c r="K366">
        <v>584.54999999999995</v>
      </c>
      <c r="L366">
        <v>3312.45</v>
      </c>
      <c r="M366">
        <v>1146.6300000000001</v>
      </c>
      <c r="N366" t="s">
        <v>27</v>
      </c>
      <c r="O366" t="s">
        <v>35</v>
      </c>
      <c r="P366" t="str">
        <f t="shared" si="10"/>
        <v>Low Value</v>
      </c>
      <c r="Q366" t="str">
        <f t="shared" si="11"/>
        <v>Low</v>
      </c>
      <c r="R366" t="str" cm="1">
        <f t="array" ref="R366">_xlfn.IFS(L366&gt;50000,"Premium",L366&gt;20000,"High",L366&gt;5000,"Medium",TRUE,"Low")</f>
        <v>Low</v>
      </c>
    </row>
    <row r="367" spans="1:18" x14ac:dyDescent="0.3">
      <c r="A367" t="s">
        <v>940</v>
      </c>
      <c r="B367" s="1">
        <v>45176</v>
      </c>
      <c r="C367" t="s">
        <v>941</v>
      </c>
      <c r="D367" t="s">
        <v>759</v>
      </c>
      <c r="E367" t="s">
        <v>31</v>
      </c>
      <c r="F367" t="s">
        <v>32</v>
      </c>
      <c r="G367" t="s">
        <v>55</v>
      </c>
      <c r="H367">
        <v>2</v>
      </c>
      <c r="I367">
        <v>250</v>
      </c>
      <c r="J367">
        <v>10</v>
      </c>
      <c r="K367">
        <v>50</v>
      </c>
      <c r="L367">
        <v>450</v>
      </c>
      <c r="M367">
        <v>108.16</v>
      </c>
      <c r="N367" t="s">
        <v>27</v>
      </c>
      <c r="O367" t="s">
        <v>95</v>
      </c>
      <c r="P367" t="str">
        <f t="shared" si="10"/>
        <v>Low Value</v>
      </c>
      <c r="Q367" t="str">
        <f t="shared" si="11"/>
        <v>Low</v>
      </c>
      <c r="R367" t="str" cm="1">
        <f t="array" ref="R367">_xlfn.IFS(L367&gt;50000,"Premium",L367&gt;20000,"High",L367&gt;5000,"Medium",TRUE,"Low")</f>
        <v>Low</v>
      </c>
    </row>
    <row r="368" spans="1:18" x14ac:dyDescent="0.3">
      <c r="A368" t="s">
        <v>942</v>
      </c>
      <c r="B368" s="1">
        <v>45008</v>
      </c>
      <c r="C368" t="s">
        <v>943</v>
      </c>
      <c r="D368" t="s">
        <v>720</v>
      </c>
      <c r="E368" t="s">
        <v>26</v>
      </c>
      <c r="F368" t="s">
        <v>39</v>
      </c>
      <c r="G368" t="s">
        <v>209</v>
      </c>
      <c r="H368">
        <v>1</v>
      </c>
      <c r="I368">
        <v>3200</v>
      </c>
      <c r="J368">
        <v>5</v>
      </c>
      <c r="K368">
        <v>160</v>
      </c>
      <c r="L368">
        <v>3040</v>
      </c>
      <c r="M368">
        <v>712.41</v>
      </c>
      <c r="N368" t="s">
        <v>41</v>
      </c>
      <c r="O368" t="s">
        <v>22</v>
      </c>
      <c r="P368" t="str">
        <f t="shared" si="10"/>
        <v>Low Value</v>
      </c>
      <c r="Q368" t="str">
        <f t="shared" si="11"/>
        <v>Low</v>
      </c>
      <c r="R368" t="str" cm="1">
        <f t="array" ref="R368">_xlfn.IFS(L368&gt;50000,"Premium",L368&gt;20000,"High",L368&gt;5000,"Medium",TRUE,"Low")</f>
        <v>Low</v>
      </c>
    </row>
    <row r="369" spans="1:18" x14ac:dyDescent="0.3">
      <c r="A369" t="s">
        <v>944</v>
      </c>
      <c r="B369" s="1">
        <v>44929</v>
      </c>
      <c r="C369" t="s">
        <v>945</v>
      </c>
      <c r="D369" t="s">
        <v>946</v>
      </c>
      <c r="E369" t="s">
        <v>31</v>
      </c>
      <c r="F369" t="s">
        <v>19</v>
      </c>
      <c r="G369" t="s">
        <v>130</v>
      </c>
      <c r="H369">
        <v>2</v>
      </c>
      <c r="I369">
        <v>22000</v>
      </c>
      <c r="J369">
        <v>25</v>
      </c>
      <c r="K369">
        <v>11000</v>
      </c>
      <c r="L369">
        <v>33000</v>
      </c>
      <c r="M369">
        <v>5343.7</v>
      </c>
      <c r="N369" t="s">
        <v>99</v>
      </c>
      <c r="O369" t="s">
        <v>35</v>
      </c>
      <c r="P369" t="str">
        <f t="shared" si="10"/>
        <v>High Value</v>
      </c>
      <c r="Q369" t="str">
        <f t="shared" si="11"/>
        <v>High</v>
      </c>
      <c r="R369" t="str" cm="1">
        <f t="array" ref="R369">_xlfn.IFS(L369&gt;50000,"Premium",L369&gt;20000,"High",L369&gt;5000,"Medium",TRUE,"Low")</f>
        <v>High</v>
      </c>
    </row>
    <row r="370" spans="1:18" x14ac:dyDescent="0.3">
      <c r="A370" t="s">
        <v>947</v>
      </c>
      <c r="B370" s="1">
        <v>45247</v>
      </c>
      <c r="C370" t="s">
        <v>948</v>
      </c>
      <c r="D370" t="s">
        <v>949</v>
      </c>
      <c r="E370" t="s">
        <v>26</v>
      </c>
      <c r="F370" t="s">
        <v>60</v>
      </c>
      <c r="G370" t="s">
        <v>165</v>
      </c>
      <c r="H370">
        <v>2</v>
      </c>
      <c r="I370">
        <v>300</v>
      </c>
      <c r="J370">
        <v>25</v>
      </c>
      <c r="K370">
        <v>150</v>
      </c>
      <c r="L370">
        <v>450</v>
      </c>
      <c r="M370">
        <v>140.88999999999999</v>
      </c>
      <c r="N370" t="s">
        <v>21</v>
      </c>
      <c r="O370" t="s">
        <v>95</v>
      </c>
      <c r="P370" t="str">
        <f t="shared" si="10"/>
        <v>Low Value</v>
      </c>
      <c r="Q370" t="str">
        <f t="shared" si="11"/>
        <v>Low</v>
      </c>
      <c r="R370" t="str" cm="1">
        <f t="array" ref="R370">_xlfn.IFS(L370&gt;50000,"Premium",L370&gt;20000,"High",L370&gt;5000,"Medium",TRUE,"Low")</f>
        <v>Low</v>
      </c>
    </row>
    <row r="371" spans="1:18" x14ac:dyDescent="0.3">
      <c r="A371" t="s">
        <v>950</v>
      </c>
      <c r="B371" s="1">
        <v>45083</v>
      </c>
      <c r="C371" t="s">
        <v>730</v>
      </c>
      <c r="D371" t="s">
        <v>582</v>
      </c>
      <c r="E371" t="s">
        <v>48</v>
      </c>
      <c r="F371" t="s">
        <v>69</v>
      </c>
      <c r="G371" t="s">
        <v>505</v>
      </c>
      <c r="H371">
        <v>1</v>
      </c>
      <c r="I371">
        <v>499</v>
      </c>
      <c r="J371">
        <v>10</v>
      </c>
      <c r="K371">
        <v>49.9</v>
      </c>
      <c r="L371">
        <v>449.1</v>
      </c>
      <c r="M371">
        <v>150.24</v>
      </c>
      <c r="N371" t="s">
        <v>41</v>
      </c>
      <c r="O371" t="s">
        <v>35</v>
      </c>
      <c r="P371" t="str">
        <f t="shared" si="10"/>
        <v>Low Value</v>
      </c>
      <c r="Q371" t="str">
        <f t="shared" si="11"/>
        <v>Low</v>
      </c>
      <c r="R371" t="str" cm="1">
        <f t="array" ref="R371">_xlfn.IFS(L371&gt;50000,"Premium",L371&gt;20000,"High",L371&gt;5000,"Medium",TRUE,"Low")</f>
        <v>Low</v>
      </c>
    </row>
    <row r="372" spans="1:18" x14ac:dyDescent="0.3">
      <c r="A372" t="s">
        <v>951</v>
      </c>
      <c r="B372" s="1">
        <v>45102</v>
      </c>
      <c r="C372" t="s">
        <v>170</v>
      </c>
      <c r="D372" t="s">
        <v>952</v>
      </c>
      <c r="E372" t="s">
        <v>31</v>
      </c>
      <c r="F372" t="s">
        <v>39</v>
      </c>
      <c r="G372" t="s">
        <v>126</v>
      </c>
      <c r="H372">
        <v>2</v>
      </c>
      <c r="I372">
        <v>4200</v>
      </c>
      <c r="J372">
        <v>5</v>
      </c>
      <c r="K372">
        <v>420</v>
      </c>
      <c r="L372">
        <v>7980</v>
      </c>
      <c r="M372">
        <v>2668.71</v>
      </c>
      <c r="N372" t="s">
        <v>27</v>
      </c>
      <c r="O372" t="s">
        <v>35</v>
      </c>
      <c r="P372" t="str">
        <f t="shared" si="10"/>
        <v>Low Value</v>
      </c>
      <c r="Q372" t="str">
        <f t="shared" si="11"/>
        <v>Medium</v>
      </c>
      <c r="R372" t="str" cm="1">
        <f t="array" ref="R372">_xlfn.IFS(L372&gt;50000,"Premium",L372&gt;20000,"High",L372&gt;5000,"Medium",TRUE,"Low")</f>
        <v>Medium</v>
      </c>
    </row>
    <row r="373" spans="1:18" x14ac:dyDescent="0.3">
      <c r="A373" t="s">
        <v>953</v>
      </c>
      <c r="B373" s="1">
        <v>45035</v>
      </c>
      <c r="C373" t="s">
        <v>954</v>
      </c>
      <c r="D373" t="s">
        <v>820</v>
      </c>
      <c r="E373" t="s">
        <v>78</v>
      </c>
      <c r="F373" t="s">
        <v>60</v>
      </c>
      <c r="G373" t="s">
        <v>291</v>
      </c>
      <c r="H373">
        <v>5</v>
      </c>
      <c r="I373">
        <v>450</v>
      </c>
      <c r="J373">
        <v>20</v>
      </c>
      <c r="K373">
        <v>450</v>
      </c>
      <c r="L373">
        <v>1800</v>
      </c>
      <c r="M373">
        <v>181.25</v>
      </c>
      <c r="N373" t="s">
        <v>21</v>
      </c>
      <c r="O373" t="s">
        <v>95</v>
      </c>
      <c r="P373" t="str">
        <f t="shared" si="10"/>
        <v>Low Value</v>
      </c>
      <c r="Q373" t="str">
        <f t="shared" si="11"/>
        <v>Low</v>
      </c>
      <c r="R373" t="str" cm="1">
        <f t="array" ref="R373">_xlfn.IFS(L373&gt;50000,"Premium",L373&gt;20000,"High",L373&gt;5000,"Medium",TRUE,"Low")</f>
        <v>Low</v>
      </c>
    </row>
    <row r="374" spans="1:18" x14ac:dyDescent="0.3">
      <c r="A374" t="s">
        <v>955</v>
      </c>
      <c r="B374" s="1">
        <v>44951</v>
      </c>
      <c r="C374" t="s">
        <v>956</v>
      </c>
      <c r="D374" t="s">
        <v>596</v>
      </c>
      <c r="E374" t="s">
        <v>54</v>
      </c>
      <c r="F374" t="s">
        <v>74</v>
      </c>
      <c r="G374" t="s">
        <v>137</v>
      </c>
      <c r="H374">
        <v>1</v>
      </c>
      <c r="I374">
        <v>2500</v>
      </c>
      <c r="J374">
        <v>25</v>
      </c>
      <c r="K374">
        <v>625</v>
      </c>
      <c r="L374">
        <v>1875</v>
      </c>
      <c r="M374">
        <v>564.07000000000005</v>
      </c>
      <c r="N374" t="s">
        <v>41</v>
      </c>
      <c r="O374" t="s">
        <v>35</v>
      </c>
      <c r="P374" t="str">
        <f t="shared" si="10"/>
        <v>Low Value</v>
      </c>
      <c r="Q374" t="str">
        <f t="shared" si="11"/>
        <v>Low</v>
      </c>
      <c r="R374" t="str" cm="1">
        <f t="array" ref="R374">_xlfn.IFS(L374&gt;50000,"Premium",L374&gt;20000,"High",L374&gt;5000,"Medium",TRUE,"Low")</f>
        <v>Low</v>
      </c>
    </row>
    <row r="375" spans="1:18" x14ac:dyDescent="0.3">
      <c r="A375" t="s">
        <v>957</v>
      </c>
      <c r="B375" s="1">
        <v>45207</v>
      </c>
      <c r="C375" t="s">
        <v>317</v>
      </c>
      <c r="D375" t="s">
        <v>188</v>
      </c>
      <c r="E375" t="s">
        <v>26</v>
      </c>
      <c r="F375" t="s">
        <v>32</v>
      </c>
      <c r="G375" t="s">
        <v>259</v>
      </c>
      <c r="H375">
        <v>2</v>
      </c>
      <c r="I375">
        <v>450</v>
      </c>
      <c r="J375">
        <v>5</v>
      </c>
      <c r="K375">
        <v>45</v>
      </c>
      <c r="L375">
        <v>855</v>
      </c>
      <c r="M375">
        <v>221.07</v>
      </c>
      <c r="N375" t="s">
        <v>99</v>
      </c>
      <c r="O375" t="s">
        <v>95</v>
      </c>
      <c r="P375" t="str">
        <f t="shared" si="10"/>
        <v>Low Value</v>
      </c>
      <c r="Q375" t="str">
        <f t="shared" si="11"/>
        <v>Low</v>
      </c>
      <c r="R375" t="str" cm="1">
        <f t="array" ref="R375">_xlfn.IFS(L375&gt;50000,"Premium",L375&gt;20000,"High",L375&gt;5000,"Medium",TRUE,"Low")</f>
        <v>Low</v>
      </c>
    </row>
    <row r="376" spans="1:18" x14ac:dyDescent="0.3">
      <c r="A376" t="s">
        <v>958</v>
      </c>
      <c r="B376" s="1">
        <v>45065</v>
      </c>
      <c r="C376" t="s">
        <v>959</v>
      </c>
      <c r="D376" t="s">
        <v>582</v>
      </c>
      <c r="E376" t="s">
        <v>18</v>
      </c>
      <c r="F376" t="s">
        <v>74</v>
      </c>
      <c r="G376" t="s">
        <v>144</v>
      </c>
      <c r="H376">
        <v>2</v>
      </c>
      <c r="I376">
        <v>1500</v>
      </c>
      <c r="J376">
        <v>15</v>
      </c>
      <c r="K376">
        <v>450</v>
      </c>
      <c r="L376">
        <v>2550</v>
      </c>
      <c r="M376">
        <v>762.95</v>
      </c>
      <c r="N376" t="s">
        <v>34</v>
      </c>
      <c r="O376" t="s">
        <v>35</v>
      </c>
      <c r="P376" t="str">
        <f t="shared" si="10"/>
        <v>Low Value</v>
      </c>
      <c r="Q376" t="str">
        <f t="shared" si="11"/>
        <v>Low</v>
      </c>
      <c r="R376" t="str" cm="1">
        <f t="array" ref="R376">_xlfn.IFS(L376&gt;50000,"Premium",L376&gt;20000,"High",L376&gt;5000,"Medium",TRUE,"Low")</f>
        <v>Low</v>
      </c>
    </row>
    <row r="377" spans="1:18" x14ac:dyDescent="0.3">
      <c r="A377" t="s">
        <v>960</v>
      </c>
      <c r="B377" s="1">
        <v>44981</v>
      </c>
      <c r="C377" t="s">
        <v>961</v>
      </c>
      <c r="D377" t="s">
        <v>962</v>
      </c>
      <c r="E377" t="s">
        <v>48</v>
      </c>
      <c r="F377" t="s">
        <v>39</v>
      </c>
      <c r="G377" t="s">
        <v>84</v>
      </c>
      <c r="H377">
        <v>5</v>
      </c>
      <c r="I377">
        <v>6500</v>
      </c>
      <c r="J377">
        <v>5</v>
      </c>
      <c r="K377">
        <v>1625</v>
      </c>
      <c r="L377">
        <v>30875</v>
      </c>
      <c r="M377">
        <v>8749.59</v>
      </c>
      <c r="N377" t="s">
        <v>41</v>
      </c>
      <c r="O377" t="s">
        <v>35</v>
      </c>
      <c r="P377" t="str">
        <f t="shared" si="10"/>
        <v>High Value</v>
      </c>
      <c r="Q377" t="str">
        <f t="shared" si="11"/>
        <v>High</v>
      </c>
      <c r="R377" t="str" cm="1">
        <f t="array" ref="R377">_xlfn.IFS(L377&gt;50000,"Premium",L377&gt;20000,"High",L377&gt;5000,"Medium",TRUE,"Low")</f>
        <v>High</v>
      </c>
    </row>
    <row r="378" spans="1:18" x14ac:dyDescent="0.3">
      <c r="A378" t="s">
        <v>963</v>
      </c>
      <c r="B378" s="1">
        <v>45009</v>
      </c>
      <c r="C378" t="s">
        <v>121</v>
      </c>
      <c r="D378" t="s">
        <v>442</v>
      </c>
      <c r="E378" t="s">
        <v>59</v>
      </c>
      <c r="F378" t="s">
        <v>19</v>
      </c>
      <c r="G378" t="s">
        <v>130</v>
      </c>
      <c r="H378">
        <v>4</v>
      </c>
      <c r="I378">
        <v>22000</v>
      </c>
      <c r="J378">
        <v>5</v>
      </c>
      <c r="K378">
        <v>4400</v>
      </c>
      <c r="L378">
        <v>83600</v>
      </c>
      <c r="M378">
        <v>21440.15</v>
      </c>
      <c r="N378" t="s">
        <v>99</v>
      </c>
      <c r="O378" t="s">
        <v>35</v>
      </c>
      <c r="P378" t="str">
        <f t="shared" si="10"/>
        <v>High Value</v>
      </c>
      <c r="Q378" t="str">
        <f t="shared" si="11"/>
        <v>Premium</v>
      </c>
      <c r="R378" t="str" cm="1">
        <f t="array" ref="R378">_xlfn.IFS(L378&gt;50000,"Premium",L378&gt;20000,"High",L378&gt;5000,"Medium",TRUE,"Low")</f>
        <v>Premium</v>
      </c>
    </row>
    <row r="379" spans="1:18" x14ac:dyDescent="0.3">
      <c r="A379" t="s">
        <v>964</v>
      </c>
      <c r="B379" s="1">
        <v>44983</v>
      </c>
      <c r="C379" t="s">
        <v>965</v>
      </c>
      <c r="D379" t="s">
        <v>453</v>
      </c>
      <c r="E379" t="s">
        <v>18</v>
      </c>
      <c r="F379" t="s">
        <v>49</v>
      </c>
      <c r="G379" t="s">
        <v>331</v>
      </c>
      <c r="H379">
        <v>4</v>
      </c>
      <c r="I379">
        <v>699</v>
      </c>
      <c r="J379">
        <v>5</v>
      </c>
      <c r="K379">
        <v>139.80000000000001</v>
      </c>
      <c r="L379">
        <v>2656.2</v>
      </c>
      <c r="M379">
        <v>889.39</v>
      </c>
      <c r="N379" t="s">
        <v>34</v>
      </c>
      <c r="O379" t="s">
        <v>35</v>
      </c>
      <c r="P379" t="str">
        <f t="shared" si="10"/>
        <v>Low Value</v>
      </c>
      <c r="Q379" t="str">
        <f t="shared" si="11"/>
        <v>Low</v>
      </c>
      <c r="R379" t="str" cm="1">
        <f t="array" ref="R379">_xlfn.IFS(L379&gt;50000,"Premium",L379&gt;20000,"High",L379&gt;5000,"Medium",TRUE,"Low")</f>
        <v>Low</v>
      </c>
    </row>
    <row r="380" spans="1:18" x14ac:dyDescent="0.3">
      <c r="A380" t="s">
        <v>966</v>
      </c>
      <c r="B380" s="1">
        <v>45160</v>
      </c>
      <c r="C380" t="s">
        <v>967</v>
      </c>
      <c r="D380" t="s">
        <v>160</v>
      </c>
      <c r="E380" t="s">
        <v>48</v>
      </c>
      <c r="F380" t="s">
        <v>32</v>
      </c>
      <c r="G380" t="s">
        <v>309</v>
      </c>
      <c r="H380">
        <v>4</v>
      </c>
      <c r="I380">
        <v>180</v>
      </c>
      <c r="J380">
        <v>0</v>
      </c>
      <c r="K380">
        <v>0</v>
      </c>
      <c r="L380">
        <v>720</v>
      </c>
      <c r="M380">
        <v>57.56</v>
      </c>
      <c r="N380" t="s">
        <v>34</v>
      </c>
      <c r="O380" t="s">
        <v>22</v>
      </c>
      <c r="P380" t="str">
        <f t="shared" si="10"/>
        <v>Low Value</v>
      </c>
      <c r="Q380" t="str">
        <f t="shared" si="11"/>
        <v>Low</v>
      </c>
      <c r="R380" t="str" cm="1">
        <f t="array" ref="R380">_xlfn.IFS(L380&gt;50000,"Premium",L380&gt;20000,"High",L380&gt;5000,"Medium",TRUE,"Low")</f>
        <v>Low</v>
      </c>
    </row>
    <row r="381" spans="1:18" x14ac:dyDescent="0.3">
      <c r="A381" t="s">
        <v>968</v>
      </c>
      <c r="B381" s="1">
        <v>44986</v>
      </c>
      <c r="C381" t="s">
        <v>969</v>
      </c>
      <c r="D381" t="s">
        <v>542</v>
      </c>
      <c r="E381" t="s">
        <v>48</v>
      </c>
      <c r="F381" t="s">
        <v>19</v>
      </c>
      <c r="G381" t="s">
        <v>107</v>
      </c>
      <c r="H381">
        <v>1</v>
      </c>
      <c r="I381">
        <v>4500</v>
      </c>
      <c r="J381">
        <v>0</v>
      </c>
      <c r="K381">
        <v>0</v>
      </c>
      <c r="L381">
        <v>4500</v>
      </c>
      <c r="M381">
        <v>1375.2</v>
      </c>
      <c r="N381" t="s">
        <v>41</v>
      </c>
      <c r="O381" t="s">
        <v>95</v>
      </c>
      <c r="P381" t="str">
        <f t="shared" si="10"/>
        <v>Low Value</v>
      </c>
      <c r="Q381" t="str">
        <f t="shared" si="11"/>
        <v>Low</v>
      </c>
      <c r="R381" t="str" cm="1">
        <f t="array" ref="R381">_xlfn.IFS(L381&gt;50000,"Premium",L381&gt;20000,"High",L381&gt;5000,"Medium",TRUE,"Low")</f>
        <v>Low</v>
      </c>
    </row>
    <row r="382" spans="1:18" x14ac:dyDescent="0.3">
      <c r="A382" t="s">
        <v>970</v>
      </c>
      <c r="B382" s="1">
        <v>45064</v>
      </c>
      <c r="C382" t="s">
        <v>280</v>
      </c>
      <c r="D382" t="s">
        <v>971</v>
      </c>
      <c r="E382" t="s">
        <v>78</v>
      </c>
      <c r="F382" t="s">
        <v>60</v>
      </c>
      <c r="G382" t="s">
        <v>291</v>
      </c>
      <c r="H382">
        <v>3</v>
      </c>
      <c r="I382">
        <v>450</v>
      </c>
      <c r="J382">
        <v>10</v>
      </c>
      <c r="K382">
        <v>135</v>
      </c>
      <c r="L382">
        <v>1215</v>
      </c>
      <c r="M382">
        <v>127.41</v>
      </c>
      <c r="N382" t="s">
        <v>41</v>
      </c>
      <c r="O382" t="s">
        <v>22</v>
      </c>
      <c r="P382" t="str">
        <f t="shared" si="10"/>
        <v>Low Value</v>
      </c>
      <c r="Q382" t="str">
        <f t="shared" si="11"/>
        <v>Low</v>
      </c>
      <c r="R382" t="str" cm="1">
        <f t="array" ref="R382">_xlfn.IFS(L382&gt;50000,"Premium",L382&gt;20000,"High",L382&gt;5000,"Medium",TRUE,"Low")</f>
        <v>Low</v>
      </c>
    </row>
    <row r="383" spans="1:18" x14ac:dyDescent="0.3">
      <c r="A383" t="s">
        <v>972</v>
      </c>
      <c r="B383" s="1">
        <v>45142</v>
      </c>
      <c r="C383" t="s">
        <v>973</v>
      </c>
      <c r="D383" t="s">
        <v>974</v>
      </c>
      <c r="E383" t="s">
        <v>18</v>
      </c>
      <c r="F383" t="s">
        <v>60</v>
      </c>
      <c r="G383" t="s">
        <v>349</v>
      </c>
      <c r="H383">
        <v>2</v>
      </c>
      <c r="I383">
        <v>250</v>
      </c>
      <c r="J383">
        <v>0</v>
      </c>
      <c r="K383">
        <v>0</v>
      </c>
      <c r="L383">
        <v>500</v>
      </c>
      <c r="M383">
        <v>44.88</v>
      </c>
      <c r="N383" t="s">
        <v>41</v>
      </c>
      <c r="O383" t="s">
        <v>95</v>
      </c>
      <c r="P383" t="str">
        <f t="shared" si="10"/>
        <v>Low Value</v>
      </c>
      <c r="Q383" t="str">
        <f t="shared" si="11"/>
        <v>Low</v>
      </c>
      <c r="R383" t="str" cm="1">
        <f t="array" ref="R383">_xlfn.IFS(L383&gt;50000,"Premium",L383&gt;20000,"High",L383&gt;5000,"Medium",TRUE,"Low")</f>
        <v>Low</v>
      </c>
    </row>
    <row r="384" spans="1:18" x14ac:dyDescent="0.3">
      <c r="A384" t="s">
        <v>975</v>
      </c>
      <c r="B384" s="1">
        <v>45174</v>
      </c>
      <c r="C384" t="s">
        <v>241</v>
      </c>
      <c r="D384" t="s">
        <v>761</v>
      </c>
      <c r="E384" t="s">
        <v>59</v>
      </c>
      <c r="F384" t="s">
        <v>49</v>
      </c>
      <c r="G384" t="s">
        <v>331</v>
      </c>
      <c r="H384">
        <v>4</v>
      </c>
      <c r="I384">
        <v>699</v>
      </c>
      <c r="J384">
        <v>5</v>
      </c>
      <c r="K384">
        <v>139.80000000000001</v>
      </c>
      <c r="L384">
        <v>2656.2</v>
      </c>
      <c r="M384">
        <v>619.95000000000005</v>
      </c>
      <c r="N384" t="s">
        <v>27</v>
      </c>
      <c r="O384" t="s">
        <v>22</v>
      </c>
      <c r="P384" t="str">
        <f t="shared" si="10"/>
        <v>Low Value</v>
      </c>
      <c r="Q384" t="str">
        <f t="shared" si="11"/>
        <v>Low</v>
      </c>
      <c r="R384" t="str" cm="1">
        <f t="array" ref="R384">_xlfn.IFS(L384&gt;50000,"Premium",L384&gt;20000,"High",L384&gt;5000,"Medium",TRUE,"Low")</f>
        <v>Low</v>
      </c>
    </row>
    <row r="385" spans="1:18" x14ac:dyDescent="0.3">
      <c r="A385" t="s">
        <v>976</v>
      </c>
      <c r="B385" s="1">
        <v>45176</v>
      </c>
      <c r="C385" t="s">
        <v>63</v>
      </c>
      <c r="D385" t="s">
        <v>688</v>
      </c>
      <c r="E385" t="s">
        <v>31</v>
      </c>
      <c r="F385" t="s">
        <v>19</v>
      </c>
      <c r="G385" t="s">
        <v>229</v>
      </c>
      <c r="H385">
        <v>4</v>
      </c>
      <c r="I385">
        <v>8000</v>
      </c>
      <c r="J385">
        <v>0</v>
      </c>
      <c r="K385">
        <v>0</v>
      </c>
      <c r="L385">
        <v>32000</v>
      </c>
      <c r="M385">
        <v>2208.0300000000002</v>
      </c>
      <c r="N385" t="s">
        <v>34</v>
      </c>
      <c r="O385" t="s">
        <v>95</v>
      </c>
      <c r="P385" t="str">
        <f t="shared" si="10"/>
        <v>High Value</v>
      </c>
      <c r="Q385" t="str">
        <f t="shared" si="11"/>
        <v>High</v>
      </c>
      <c r="R385" t="str" cm="1">
        <f t="array" ref="R385">_xlfn.IFS(L385&gt;50000,"Premium",L385&gt;20000,"High",L385&gt;5000,"Medium",TRUE,"Low")</f>
        <v>High</v>
      </c>
    </row>
    <row r="386" spans="1:18" x14ac:dyDescent="0.3">
      <c r="A386" t="s">
        <v>977</v>
      </c>
      <c r="B386" s="1">
        <v>45194</v>
      </c>
      <c r="C386" t="s">
        <v>514</v>
      </c>
      <c r="D386" t="s">
        <v>796</v>
      </c>
      <c r="E386" t="s">
        <v>48</v>
      </c>
      <c r="F386" t="s">
        <v>60</v>
      </c>
      <c r="G386" t="s">
        <v>115</v>
      </c>
      <c r="H386">
        <v>5</v>
      </c>
      <c r="I386">
        <v>1800</v>
      </c>
      <c r="J386">
        <v>0</v>
      </c>
      <c r="K386">
        <v>0</v>
      </c>
      <c r="L386">
        <v>9000</v>
      </c>
      <c r="M386">
        <v>1618.69</v>
      </c>
      <c r="N386" t="s">
        <v>41</v>
      </c>
      <c r="O386" t="s">
        <v>35</v>
      </c>
      <c r="P386" t="str">
        <f t="shared" si="10"/>
        <v>Low Value</v>
      </c>
      <c r="Q386" t="str">
        <f t="shared" si="11"/>
        <v>Medium</v>
      </c>
      <c r="R386" t="str" cm="1">
        <f t="array" ref="R386">_xlfn.IFS(L386&gt;50000,"Premium",L386&gt;20000,"High",L386&gt;5000,"Medium",TRUE,"Low")</f>
        <v>Medium</v>
      </c>
    </row>
    <row r="387" spans="1:18" x14ac:dyDescent="0.3">
      <c r="A387" t="s">
        <v>978</v>
      </c>
      <c r="B387" s="1">
        <v>45212</v>
      </c>
      <c r="C387" t="s">
        <v>979</v>
      </c>
      <c r="D387" t="s">
        <v>264</v>
      </c>
      <c r="E387" t="s">
        <v>83</v>
      </c>
      <c r="F387" t="s">
        <v>74</v>
      </c>
      <c r="G387" t="s">
        <v>137</v>
      </c>
      <c r="H387">
        <v>1</v>
      </c>
      <c r="I387">
        <v>2500</v>
      </c>
      <c r="J387">
        <v>25</v>
      </c>
      <c r="K387">
        <v>625</v>
      </c>
      <c r="L387">
        <v>1875</v>
      </c>
      <c r="M387">
        <v>619.33000000000004</v>
      </c>
      <c r="N387" t="s">
        <v>99</v>
      </c>
      <c r="O387" t="s">
        <v>22</v>
      </c>
      <c r="P387" t="str">
        <f t="shared" ref="P387:P450" si="12">IF(L387&gt;20000,"High Value","Low Value")</f>
        <v>Low Value</v>
      </c>
      <c r="Q387" t="str">
        <f t="shared" ref="Q387:Q450" si="13">IF(L387&gt;50000,"Premium",IF(L387&gt;20000,"High",IF(L387&gt;5000,"Medium","Low")))</f>
        <v>Low</v>
      </c>
      <c r="R387" t="str" cm="1">
        <f t="array" ref="R387">_xlfn.IFS(L387&gt;50000,"Premium",L387&gt;20000,"High",L387&gt;5000,"Medium",TRUE,"Low")</f>
        <v>Low</v>
      </c>
    </row>
    <row r="388" spans="1:18" x14ac:dyDescent="0.3">
      <c r="A388" t="s">
        <v>980</v>
      </c>
      <c r="B388" s="1">
        <v>45091</v>
      </c>
      <c r="C388" t="s">
        <v>92</v>
      </c>
      <c r="D388" t="s">
        <v>981</v>
      </c>
      <c r="E388" t="s">
        <v>31</v>
      </c>
      <c r="F388" t="s">
        <v>69</v>
      </c>
      <c r="G388" t="s">
        <v>275</v>
      </c>
      <c r="H388">
        <v>3</v>
      </c>
      <c r="I388">
        <v>799</v>
      </c>
      <c r="J388">
        <v>0</v>
      </c>
      <c r="K388">
        <v>0</v>
      </c>
      <c r="L388">
        <v>2397</v>
      </c>
      <c r="M388">
        <v>484.38</v>
      </c>
      <c r="N388" t="s">
        <v>99</v>
      </c>
      <c r="O388" t="s">
        <v>22</v>
      </c>
      <c r="P388" t="str">
        <f t="shared" si="12"/>
        <v>Low Value</v>
      </c>
      <c r="Q388" t="str">
        <f t="shared" si="13"/>
        <v>Low</v>
      </c>
      <c r="R388" t="str" cm="1">
        <f t="array" ref="R388">_xlfn.IFS(L388&gt;50000,"Premium",L388&gt;20000,"High",L388&gt;5000,"Medium",TRUE,"Low")</f>
        <v>Low</v>
      </c>
    </row>
    <row r="389" spans="1:18" x14ac:dyDescent="0.3">
      <c r="A389" t="s">
        <v>982</v>
      </c>
      <c r="B389" s="1">
        <v>45154</v>
      </c>
      <c r="C389" t="s">
        <v>983</v>
      </c>
      <c r="D389" t="s">
        <v>837</v>
      </c>
      <c r="E389" t="s">
        <v>54</v>
      </c>
      <c r="F389" t="s">
        <v>49</v>
      </c>
      <c r="G389" t="s">
        <v>331</v>
      </c>
      <c r="H389">
        <v>4</v>
      </c>
      <c r="I389">
        <v>699</v>
      </c>
      <c r="J389">
        <v>0</v>
      </c>
      <c r="K389">
        <v>0</v>
      </c>
      <c r="L389">
        <v>2796</v>
      </c>
      <c r="M389">
        <v>858.31</v>
      </c>
      <c r="N389" t="s">
        <v>99</v>
      </c>
      <c r="O389" t="s">
        <v>35</v>
      </c>
      <c r="P389" t="str">
        <f t="shared" si="12"/>
        <v>Low Value</v>
      </c>
      <c r="Q389" t="str">
        <f t="shared" si="13"/>
        <v>Low</v>
      </c>
      <c r="R389" t="str" cm="1">
        <f t="array" ref="R389">_xlfn.IFS(L389&gt;50000,"Premium",L389&gt;20000,"High",L389&gt;5000,"Medium",TRUE,"Low")</f>
        <v>Low</v>
      </c>
    </row>
    <row r="390" spans="1:18" x14ac:dyDescent="0.3">
      <c r="A390" t="s">
        <v>984</v>
      </c>
      <c r="B390" s="1">
        <v>45133</v>
      </c>
      <c r="C390" t="s">
        <v>985</v>
      </c>
      <c r="D390" t="s">
        <v>284</v>
      </c>
      <c r="E390" t="s">
        <v>78</v>
      </c>
      <c r="F390" t="s">
        <v>39</v>
      </c>
      <c r="G390" t="s">
        <v>40</v>
      </c>
      <c r="H390">
        <v>5</v>
      </c>
      <c r="I390">
        <v>8500</v>
      </c>
      <c r="J390">
        <v>20</v>
      </c>
      <c r="K390">
        <v>8500</v>
      </c>
      <c r="L390">
        <v>34000</v>
      </c>
      <c r="M390">
        <v>1701.73</v>
      </c>
      <c r="N390" t="s">
        <v>21</v>
      </c>
      <c r="O390" t="s">
        <v>95</v>
      </c>
      <c r="P390" t="str">
        <f t="shared" si="12"/>
        <v>High Value</v>
      </c>
      <c r="Q390" t="str">
        <f t="shared" si="13"/>
        <v>High</v>
      </c>
      <c r="R390" t="str" cm="1">
        <f t="array" ref="R390">_xlfn.IFS(L390&gt;50000,"Premium",L390&gt;20000,"High",L390&gt;5000,"Medium",TRUE,"Low")</f>
        <v>High</v>
      </c>
    </row>
    <row r="391" spans="1:18" x14ac:dyDescent="0.3">
      <c r="A391" t="s">
        <v>986</v>
      </c>
      <c r="B391" s="1">
        <v>45032</v>
      </c>
      <c r="C391" t="s">
        <v>692</v>
      </c>
      <c r="D391" t="s">
        <v>324</v>
      </c>
      <c r="E391" t="s">
        <v>48</v>
      </c>
      <c r="F391" t="s">
        <v>60</v>
      </c>
      <c r="G391" t="s">
        <v>115</v>
      </c>
      <c r="H391">
        <v>4</v>
      </c>
      <c r="I391">
        <v>1800</v>
      </c>
      <c r="J391">
        <v>10</v>
      </c>
      <c r="K391">
        <v>720</v>
      </c>
      <c r="L391">
        <v>6480</v>
      </c>
      <c r="M391">
        <v>1030.3399999999999</v>
      </c>
      <c r="N391" t="s">
        <v>21</v>
      </c>
      <c r="O391" t="s">
        <v>95</v>
      </c>
      <c r="P391" t="str">
        <f t="shared" si="12"/>
        <v>Low Value</v>
      </c>
      <c r="Q391" t="str">
        <f t="shared" si="13"/>
        <v>Medium</v>
      </c>
      <c r="R391" t="str" cm="1">
        <f t="array" ref="R391">_xlfn.IFS(L391&gt;50000,"Premium",L391&gt;20000,"High",L391&gt;5000,"Medium",TRUE,"Low")</f>
        <v>Medium</v>
      </c>
    </row>
    <row r="392" spans="1:18" x14ac:dyDescent="0.3">
      <c r="A392" t="s">
        <v>987</v>
      </c>
      <c r="B392" s="1">
        <v>45234</v>
      </c>
      <c r="C392" t="s">
        <v>109</v>
      </c>
      <c r="D392" t="s">
        <v>102</v>
      </c>
      <c r="E392" t="s">
        <v>48</v>
      </c>
      <c r="F392" t="s">
        <v>39</v>
      </c>
      <c r="G392" t="s">
        <v>213</v>
      </c>
      <c r="H392">
        <v>3</v>
      </c>
      <c r="I392">
        <v>15000</v>
      </c>
      <c r="J392">
        <v>25</v>
      </c>
      <c r="K392">
        <v>11250</v>
      </c>
      <c r="L392">
        <v>33750</v>
      </c>
      <c r="M392">
        <v>6269.39</v>
      </c>
      <c r="N392" t="s">
        <v>34</v>
      </c>
      <c r="O392" t="s">
        <v>35</v>
      </c>
      <c r="P392" t="str">
        <f t="shared" si="12"/>
        <v>High Value</v>
      </c>
      <c r="Q392" t="str">
        <f t="shared" si="13"/>
        <v>High</v>
      </c>
      <c r="R392" t="str" cm="1">
        <f t="array" ref="R392">_xlfn.IFS(L392&gt;50000,"Premium",L392&gt;20000,"High",L392&gt;5000,"Medium",TRUE,"Low")</f>
        <v>High</v>
      </c>
    </row>
    <row r="393" spans="1:18" x14ac:dyDescent="0.3">
      <c r="A393" t="s">
        <v>988</v>
      </c>
      <c r="B393" s="1">
        <v>45207</v>
      </c>
      <c r="C393" t="s">
        <v>989</v>
      </c>
      <c r="D393" t="s">
        <v>483</v>
      </c>
      <c r="E393" t="s">
        <v>18</v>
      </c>
      <c r="F393" t="s">
        <v>74</v>
      </c>
      <c r="G393" t="s">
        <v>341</v>
      </c>
      <c r="H393">
        <v>1</v>
      </c>
      <c r="I393">
        <v>700</v>
      </c>
      <c r="J393">
        <v>0</v>
      </c>
      <c r="K393">
        <v>0</v>
      </c>
      <c r="L393">
        <v>700</v>
      </c>
      <c r="M393">
        <v>223.34</v>
      </c>
      <c r="N393" t="s">
        <v>34</v>
      </c>
      <c r="O393" t="s">
        <v>95</v>
      </c>
      <c r="P393" t="str">
        <f t="shared" si="12"/>
        <v>Low Value</v>
      </c>
      <c r="Q393" t="str">
        <f t="shared" si="13"/>
        <v>Low</v>
      </c>
      <c r="R393" t="str" cm="1">
        <f t="array" ref="R393">_xlfn.IFS(L393&gt;50000,"Premium",L393&gt;20000,"High",L393&gt;5000,"Medium",TRUE,"Low")</f>
        <v>Low</v>
      </c>
    </row>
    <row r="394" spans="1:18" x14ac:dyDescent="0.3">
      <c r="A394" t="s">
        <v>990</v>
      </c>
      <c r="B394" s="1">
        <v>45027</v>
      </c>
      <c r="C394" t="s">
        <v>167</v>
      </c>
      <c r="D394" t="s">
        <v>151</v>
      </c>
      <c r="E394" t="s">
        <v>18</v>
      </c>
      <c r="F394" t="s">
        <v>69</v>
      </c>
      <c r="G394" t="s">
        <v>505</v>
      </c>
      <c r="H394">
        <v>4</v>
      </c>
      <c r="I394">
        <v>499</v>
      </c>
      <c r="J394">
        <v>5</v>
      </c>
      <c r="K394">
        <v>99.8</v>
      </c>
      <c r="L394">
        <v>1896.2</v>
      </c>
      <c r="M394">
        <v>354.81</v>
      </c>
      <c r="N394" t="s">
        <v>41</v>
      </c>
      <c r="O394" t="s">
        <v>35</v>
      </c>
      <c r="P394" t="str">
        <f t="shared" si="12"/>
        <v>Low Value</v>
      </c>
      <c r="Q394" t="str">
        <f t="shared" si="13"/>
        <v>Low</v>
      </c>
      <c r="R394" t="str" cm="1">
        <f t="array" ref="R394">_xlfn.IFS(L394&gt;50000,"Premium",L394&gt;20000,"High",L394&gt;5000,"Medium",TRUE,"Low")</f>
        <v>Low</v>
      </c>
    </row>
    <row r="395" spans="1:18" x14ac:dyDescent="0.3">
      <c r="A395" t="s">
        <v>991</v>
      </c>
      <c r="B395" s="1">
        <v>45251</v>
      </c>
      <c r="C395" t="s">
        <v>523</v>
      </c>
      <c r="D395" t="s">
        <v>992</v>
      </c>
      <c r="E395" t="s">
        <v>83</v>
      </c>
      <c r="F395" t="s">
        <v>49</v>
      </c>
      <c r="G395" t="s">
        <v>458</v>
      </c>
      <c r="H395">
        <v>5</v>
      </c>
      <c r="I395">
        <v>549</v>
      </c>
      <c r="J395">
        <v>0</v>
      </c>
      <c r="K395">
        <v>0</v>
      </c>
      <c r="L395">
        <v>2745</v>
      </c>
      <c r="M395">
        <v>773.11</v>
      </c>
      <c r="N395" t="s">
        <v>41</v>
      </c>
      <c r="O395" t="s">
        <v>35</v>
      </c>
      <c r="P395" t="str">
        <f t="shared" si="12"/>
        <v>Low Value</v>
      </c>
      <c r="Q395" t="str">
        <f t="shared" si="13"/>
        <v>Low</v>
      </c>
      <c r="R395" t="str" cm="1">
        <f t="array" ref="R395">_xlfn.IFS(L395&gt;50000,"Premium",L395&gt;20000,"High",L395&gt;5000,"Medium",TRUE,"Low")</f>
        <v>Low</v>
      </c>
    </row>
    <row r="396" spans="1:18" x14ac:dyDescent="0.3">
      <c r="A396" t="s">
        <v>993</v>
      </c>
      <c r="B396" s="1">
        <v>45198</v>
      </c>
      <c r="C396" t="s">
        <v>994</v>
      </c>
      <c r="D396" t="s">
        <v>995</v>
      </c>
      <c r="E396" t="s">
        <v>83</v>
      </c>
      <c r="F396" t="s">
        <v>60</v>
      </c>
      <c r="G396" t="s">
        <v>291</v>
      </c>
      <c r="H396">
        <v>5</v>
      </c>
      <c r="I396">
        <v>450</v>
      </c>
      <c r="J396">
        <v>15</v>
      </c>
      <c r="K396">
        <v>337.5</v>
      </c>
      <c r="L396">
        <v>1912.5</v>
      </c>
      <c r="M396">
        <v>576.9</v>
      </c>
      <c r="N396" t="s">
        <v>27</v>
      </c>
      <c r="O396" t="s">
        <v>35</v>
      </c>
      <c r="P396" t="str">
        <f t="shared" si="12"/>
        <v>Low Value</v>
      </c>
      <c r="Q396" t="str">
        <f t="shared" si="13"/>
        <v>Low</v>
      </c>
      <c r="R396" t="str" cm="1">
        <f t="array" ref="R396">_xlfn.IFS(L396&gt;50000,"Premium",L396&gt;20000,"High",L396&gt;5000,"Medium",TRUE,"Low")</f>
        <v>Low</v>
      </c>
    </row>
    <row r="397" spans="1:18" x14ac:dyDescent="0.3">
      <c r="A397" t="s">
        <v>996</v>
      </c>
      <c r="B397" s="1">
        <v>45125</v>
      </c>
      <c r="C397" t="s">
        <v>997</v>
      </c>
      <c r="D397" t="s">
        <v>164</v>
      </c>
      <c r="E397" t="s">
        <v>31</v>
      </c>
      <c r="F397" t="s">
        <v>60</v>
      </c>
      <c r="G397" t="s">
        <v>61</v>
      </c>
      <c r="H397">
        <v>5</v>
      </c>
      <c r="I397">
        <v>850</v>
      </c>
      <c r="J397">
        <v>10</v>
      </c>
      <c r="K397">
        <v>425</v>
      </c>
      <c r="L397">
        <v>3825</v>
      </c>
      <c r="M397">
        <v>769.72</v>
      </c>
      <c r="N397" t="s">
        <v>34</v>
      </c>
      <c r="O397" t="s">
        <v>22</v>
      </c>
      <c r="P397" t="str">
        <f t="shared" si="12"/>
        <v>Low Value</v>
      </c>
      <c r="Q397" t="str">
        <f t="shared" si="13"/>
        <v>Low</v>
      </c>
      <c r="R397" t="str" cm="1">
        <f t="array" ref="R397">_xlfn.IFS(L397&gt;50000,"Premium",L397&gt;20000,"High",L397&gt;5000,"Medium",TRUE,"Low")</f>
        <v>Low</v>
      </c>
    </row>
    <row r="398" spans="1:18" x14ac:dyDescent="0.3">
      <c r="A398" t="s">
        <v>998</v>
      </c>
      <c r="B398" s="1">
        <v>45102</v>
      </c>
      <c r="C398" t="s">
        <v>533</v>
      </c>
      <c r="D398" t="s">
        <v>999</v>
      </c>
      <c r="E398" t="s">
        <v>48</v>
      </c>
      <c r="F398" t="s">
        <v>32</v>
      </c>
      <c r="G398" t="s">
        <v>259</v>
      </c>
      <c r="H398">
        <v>2</v>
      </c>
      <c r="I398">
        <v>450</v>
      </c>
      <c r="J398">
        <v>5</v>
      </c>
      <c r="K398">
        <v>45</v>
      </c>
      <c r="L398">
        <v>855</v>
      </c>
      <c r="M398">
        <v>148.62</v>
      </c>
      <c r="N398" t="s">
        <v>21</v>
      </c>
      <c r="O398" t="s">
        <v>35</v>
      </c>
      <c r="P398" t="str">
        <f t="shared" si="12"/>
        <v>Low Value</v>
      </c>
      <c r="Q398" t="str">
        <f t="shared" si="13"/>
        <v>Low</v>
      </c>
      <c r="R398" t="str" cm="1">
        <f t="array" ref="R398">_xlfn.IFS(L398&gt;50000,"Premium",L398&gt;20000,"High",L398&gt;5000,"Medium",TRUE,"Low")</f>
        <v>Low</v>
      </c>
    </row>
    <row r="399" spans="1:18" x14ac:dyDescent="0.3">
      <c r="A399" t="s">
        <v>1000</v>
      </c>
      <c r="B399" s="1">
        <v>45029</v>
      </c>
      <c r="C399" t="s">
        <v>1001</v>
      </c>
      <c r="D399" t="s">
        <v>858</v>
      </c>
      <c r="E399" t="s">
        <v>48</v>
      </c>
      <c r="F399" t="s">
        <v>69</v>
      </c>
      <c r="G399" t="s">
        <v>243</v>
      </c>
      <c r="H399">
        <v>3</v>
      </c>
      <c r="I399">
        <v>1999</v>
      </c>
      <c r="J399">
        <v>25</v>
      </c>
      <c r="K399">
        <v>1499.25</v>
      </c>
      <c r="L399">
        <v>4497.75</v>
      </c>
      <c r="M399">
        <v>690.8</v>
      </c>
      <c r="N399" t="s">
        <v>99</v>
      </c>
      <c r="O399" t="s">
        <v>35</v>
      </c>
      <c r="P399" t="str">
        <f t="shared" si="12"/>
        <v>Low Value</v>
      </c>
      <c r="Q399" t="str">
        <f t="shared" si="13"/>
        <v>Low</v>
      </c>
      <c r="R399" t="str" cm="1">
        <f t="array" ref="R399">_xlfn.IFS(L399&gt;50000,"Premium",L399&gt;20000,"High",L399&gt;5000,"Medium",TRUE,"Low")</f>
        <v>Low</v>
      </c>
    </row>
    <row r="400" spans="1:18" x14ac:dyDescent="0.3">
      <c r="A400" t="s">
        <v>1002</v>
      </c>
      <c r="B400" s="1">
        <v>45214</v>
      </c>
      <c r="C400" t="s">
        <v>190</v>
      </c>
      <c r="D400" t="s">
        <v>676</v>
      </c>
      <c r="E400" t="s">
        <v>26</v>
      </c>
      <c r="F400" t="s">
        <v>39</v>
      </c>
      <c r="G400" t="s">
        <v>79</v>
      </c>
      <c r="H400">
        <v>5</v>
      </c>
      <c r="I400">
        <v>25000</v>
      </c>
      <c r="J400">
        <v>25</v>
      </c>
      <c r="K400">
        <v>31250</v>
      </c>
      <c r="L400">
        <v>93750</v>
      </c>
      <c r="M400">
        <v>24659.73</v>
      </c>
      <c r="N400" t="s">
        <v>99</v>
      </c>
      <c r="O400" t="s">
        <v>95</v>
      </c>
      <c r="P400" t="str">
        <f t="shared" si="12"/>
        <v>High Value</v>
      </c>
      <c r="Q400" t="str">
        <f t="shared" si="13"/>
        <v>Premium</v>
      </c>
      <c r="R400" t="str" cm="1">
        <f t="array" ref="R400">_xlfn.IFS(L400&gt;50000,"Premium",L400&gt;20000,"High",L400&gt;5000,"Medium",TRUE,"Low")</f>
        <v>Premium</v>
      </c>
    </row>
    <row r="401" spans="1:18" x14ac:dyDescent="0.3">
      <c r="A401" t="s">
        <v>1003</v>
      </c>
      <c r="B401" s="1">
        <v>44981</v>
      </c>
      <c r="C401" t="s">
        <v>822</v>
      </c>
      <c r="D401" t="s">
        <v>370</v>
      </c>
      <c r="E401" t="s">
        <v>78</v>
      </c>
      <c r="F401" t="s">
        <v>19</v>
      </c>
      <c r="G401" t="s">
        <v>229</v>
      </c>
      <c r="H401">
        <v>2</v>
      </c>
      <c r="I401">
        <v>8000</v>
      </c>
      <c r="J401">
        <v>0</v>
      </c>
      <c r="K401">
        <v>0</v>
      </c>
      <c r="L401">
        <v>16000</v>
      </c>
      <c r="M401">
        <v>4017.22</v>
      </c>
      <c r="N401" t="s">
        <v>34</v>
      </c>
      <c r="O401" t="s">
        <v>35</v>
      </c>
      <c r="P401" t="str">
        <f t="shared" si="12"/>
        <v>Low Value</v>
      </c>
      <c r="Q401" t="str">
        <f t="shared" si="13"/>
        <v>Medium</v>
      </c>
      <c r="R401" t="str" cm="1">
        <f t="array" ref="R401">_xlfn.IFS(L401&gt;50000,"Premium",L401&gt;20000,"High",L401&gt;5000,"Medium",TRUE,"Low")</f>
        <v>Medium</v>
      </c>
    </row>
    <row r="402" spans="1:18" x14ac:dyDescent="0.3">
      <c r="A402" t="s">
        <v>1004</v>
      </c>
      <c r="B402" s="1">
        <v>44958</v>
      </c>
      <c r="C402" t="s">
        <v>758</v>
      </c>
      <c r="D402" t="s">
        <v>98</v>
      </c>
      <c r="E402" t="s">
        <v>18</v>
      </c>
      <c r="F402" t="s">
        <v>60</v>
      </c>
      <c r="G402" t="s">
        <v>349</v>
      </c>
      <c r="H402">
        <v>3</v>
      </c>
      <c r="I402">
        <v>250</v>
      </c>
      <c r="J402">
        <v>5</v>
      </c>
      <c r="K402">
        <v>37.5</v>
      </c>
      <c r="L402">
        <v>712.5</v>
      </c>
      <c r="M402">
        <v>196.71</v>
      </c>
      <c r="N402" t="s">
        <v>21</v>
      </c>
      <c r="O402" t="s">
        <v>95</v>
      </c>
      <c r="P402" t="str">
        <f t="shared" si="12"/>
        <v>Low Value</v>
      </c>
      <c r="Q402" t="str">
        <f t="shared" si="13"/>
        <v>Low</v>
      </c>
      <c r="R402" t="str" cm="1">
        <f t="array" ref="R402">_xlfn.IFS(L402&gt;50000,"Premium",L402&gt;20000,"High",L402&gt;5000,"Medium",TRUE,"Low")</f>
        <v>Low</v>
      </c>
    </row>
    <row r="403" spans="1:18" x14ac:dyDescent="0.3">
      <c r="A403" t="s">
        <v>1005</v>
      </c>
      <c r="B403" s="1">
        <v>45041</v>
      </c>
      <c r="C403" t="s">
        <v>777</v>
      </c>
      <c r="D403" t="s">
        <v>602</v>
      </c>
      <c r="E403" t="s">
        <v>26</v>
      </c>
      <c r="F403" t="s">
        <v>60</v>
      </c>
      <c r="G403" t="s">
        <v>115</v>
      </c>
      <c r="H403">
        <v>5</v>
      </c>
      <c r="I403">
        <v>1800</v>
      </c>
      <c r="J403">
        <v>15</v>
      </c>
      <c r="K403">
        <v>1350</v>
      </c>
      <c r="L403">
        <v>7650</v>
      </c>
      <c r="M403">
        <v>927.78</v>
      </c>
      <c r="N403" t="s">
        <v>41</v>
      </c>
      <c r="O403" t="s">
        <v>22</v>
      </c>
      <c r="P403" t="str">
        <f t="shared" si="12"/>
        <v>Low Value</v>
      </c>
      <c r="Q403" t="str">
        <f t="shared" si="13"/>
        <v>Medium</v>
      </c>
      <c r="R403" t="str" cm="1">
        <f t="array" ref="R403">_xlfn.IFS(L403&gt;50000,"Premium",L403&gt;20000,"High",L403&gt;5000,"Medium",TRUE,"Low")</f>
        <v>Medium</v>
      </c>
    </row>
    <row r="404" spans="1:18" x14ac:dyDescent="0.3">
      <c r="A404" t="s">
        <v>1006</v>
      </c>
      <c r="B404" s="1">
        <v>45277</v>
      </c>
      <c r="C404" t="s">
        <v>1007</v>
      </c>
      <c r="D404" t="s">
        <v>494</v>
      </c>
      <c r="E404" t="s">
        <v>31</v>
      </c>
      <c r="F404" t="s">
        <v>32</v>
      </c>
      <c r="G404" t="s">
        <v>361</v>
      </c>
      <c r="H404">
        <v>1</v>
      </c>
      <c r="I404">
        <v>90</v>
      </c>
      <c r="J404">
        <v>0</v>
      </c>
      <c r="K404">
        <v>0</v>
      </c>
      <c r="L404">
        <v>90</v>
      </c>
      <c r="M404">
        <v>24.58</v>
      </c>
      <c r="N404" t="s">
        <v>34</v>
      </c>
      <c r="O404" t="s">
        <v>95</v>
      </c>
      <c r="P404" t="str">
        <f t="shared" si="12"/>
        <v>Low Value</v>
      </c>
      <c r="Q404" t="str">
        <f t="shared" si="13"/>
        <v>Low</v>
      </c>
      <c r="R404" t="str" cm="1">
        <f t="array" ref="R404">_xlfn.IFS(L404&gt;50000,"Premium",L404&gt;20000,"High",L404&gt;5000,"Medium",TRUE,"Low")</f>
        <v>Low</v>
      </c>
    </row>
    <row r="405" spans="1:18" x14ac:dyDescent="0.3">
      <c r="A405" t="s">
        <v>1008</v>
      </c>
      <c r="B405" s="1">
        <v>45206</v>
      </c>
      <c r="C405" t="s">
        <v>934</v>
      </c>
      <c r="D405" t="s">
        <v>1009</v>
      </c>
      <c r="E405" t="s">
        <v>18</v>
      </c>
      <c r="F405" t="s">
        <v>60</v>
      </c>
      <c r="G405" t="s">
        <v>61</v>
      </c>
      <c r="H405">
        <v>2</v>
      </c>
      <c r="I405">
        <v>850</v>
      </c>
      <c r="J405">
        <v>25</v>
      </c>
      <c r="K405">
        <v>425</v>
      </c>
      <c r="L405">
        <v>1275</v>
      </c>
      <c r="M405">
        <v>432.59</v>
      </c>
      <c r="N405" t="s">
        <v>27</v>
      </c>
      <c r="O405" t="s">
        <v>35</v>
      </c>
      <c r="P405" t="str">
        <f t="shared" si="12"/>
        <v>Low Value</v>
      </c>
      <c r="Q405" t="str">
        <f t="shared" si="13"/>
        <v>Low</v>
      </c>
      <c r="R405" t="str" cm="1">
        <f t="array" ref="R405">_xlfn.IFS(L405&gt;50000,"Premium",L405&gt;20000,"High",L405&gt;5000,"Medium",TRUE,"Low")</f>
        <v>Low</v>
      </c>
    </row>
    <row r="406" spans="1:18" x14ac:dyDescent="0.3">
      <c r="A406" t="s">
        <v>1010</v>
      </c>
      <c r="B406" s="1">
        <v>45190</v>
      </c>
      <c r="C406" t="s">
        <v>176</v>
      </c>
      <c r="D406" t="s">
        <v>858</v>
      </c>
      <c r="E406" t="s">
        <v>78</v>
      </c>
      <c r="F406" t="s">
        <v>19</v>
      </c>
      <c r="G406" t="s">
        <v>229</v>
      </c>
      <c r="H406">
        <v>1</v>
      </c>
      <c r="I406">
        <v>8000</v>
      </c>
      <c r="J406">
        <v>15</v>
      </c>
      <c r="K406">
        <v>1200</v>
      </c>
      <c r="L406">
        <v>6800</v>
      </c>
      <c r="M406">
        <v>909.39</v>
      </c>
      <c r="N406" t="s">
        <v>99</v>
      </c>
      <c r="O406" t="s">
        <v>35</v>
      </c>
      <c r="P406" t="str">
        <f t="shared" si="12"/>
        <v>Low Value</v>
      </c>
      <c r="Q406" t="str">
        <f t="shared" si="13"/>
        <v>Medium</v>
      </c>
      <c r="R406" t="str" cm="1">
        <f t="array" ref="R406">_xlfn.IFS(L406&gt;50000,"Premium",L406&gt;20000,"High",L406&gt;5000,"Medium",TRUE,"Low")</f>
        <v>Medium</v>
      </c>
    </row>
    <row r="407" spans="1:18" x14ac:dyDescent="0.3">
      <c r="A407" t="s">
        <v>1011</v>
      </c>
      <c r="B407" s="1">
        <v>45165</v>
      </c>
      <c r="C407" t="s">
        <v>1012</v>
      </c>
      <c r="D407" t="s">
        <v>287</v>
      </c>
      <c r="E407" t="s">
        <v>78</v>
      </c>
      <c r="F407" t="s">
        <v>60</v>
      </c>
      <c r="G407" t="s">
        <v>165</v>
      </c>
      <c r="H407">
        <v>1</v>
      </c>
      <c r="I407">
        <v>300</v>
      </c>
      <c r="J407">
        <v>5</v>
      </c>
      <c r="K407">
        <v>15</v>
      </c>
      <c r="L407">
        <v>285</v>
      </c>
      <c r="M407">
        <v>93.65</v>
      </c>
      <c r="N407" t="s">
        <v>41</v>
      </c>
      <c r="O407" t="s">
        <v>95</v>
      </c>
      <c r="P407" t="str">
        <f t="shared" si="12"/>
        <v>Low Value</v>
      </c>
      <c r="Q407" t="str">
        <f t="shared" si="13"/>
        <v>Low</v>
      </c>
      <c r="R407" t="str" cm="1">
        <f t="array" ref="R407">_xlfn.IFS(L407&gt;50000,"Premium",L407&gt;20000,"High",L407&gt;5000,"Medium",TRUE,"Low")</f>
        <v>Low</v>
      </c>
    </row>
    <row r="408" spans="1:18" x14ac:dyDescent="0.3">
      <c r="A408" t="s">
        <v>1013</v>
      </c>
      <c r="B408" s="1">
        <v>45208</v>
      </c>
      <c r="C408" t="s">
        <v>650</v>
      </c>
      <c r="D408" t="s">
        <v>453</v>
      </c>
      <c r="E408" t="s">
        <v>83</v>
      </c>
      <c r="F408" t="s">
        <v>32</v>
      </c>
      <c r="G408" t="s">
        <v>253</v>
      </c>
      <c r="H408">
        <v>3</v>
      </c>
      <c r="I408">
        <v>350</v>
      </c>
      <c r="J408">
        <v>20</v>
      </c>
      <c r="K408">
        <v>210</v>
      </c>
      <c r="L408">
        <v>840</v>
      </c>
      <c r="M408">
        <v>97.43</v>
      </c>
      <c r="N408" t="s">
        <v>41</v>
      </c>
      <c r="O408" t="s">
        <v>95</v>
      </c>
      <c r="P408" t="str">
        <f t="shared" si="12"/>
        <v>Low Value</v>
      </c>
      <c r="Q408" t="str">
        <f t="shared" si="13"/>
        <v>Low</v>
      </c>
      <c r="R408" t="str" cm="1">
        <f t="array" ref="R408">_xlfn.IFS(L408&gt;50000,"Premium",L408&gt;20000,"High",L408&gt;5000,"Medium",TRUE,"Low")</f>
        <v>Low</v>
      </c>
    </row>
    <row r="409" spans="1:18" x14ac:dyDescent="0.3">
      <c r="A409" t="s">
        <v>1014</v>
      </c>
      <c r="B409" s="1">
        <v>45201</v>
      </c>
      <c r="C409" t="s">
        <v>969</v>
      </c>
      <c r="D409" t="s">
        <v>451</v>
      </c>
      <c r="E409" t="s">
        <v>48</v>
      </c>
      <c r="F409" t="s">
        <v>39</v>
      </c>
      <c r="G409" t="s">
        <v>40</v>
      </c>
      <c r="H409">
        <v>3</v>
      </c>
      <c r="I409">
        <v>8500</v>
      </c>
      <c r="J409">
        <v>5</v>
      </c>
      <c r="K409">
        <v>1275</v>
      </c>
      <c r="L409">
        <v>24225</v>
      </c>
      <c r="M409">
        <v>7631.34</v>
      </c>
      <c r="N409" t="s">
        <v>34</v>
      </c>
      <c r="O409" t="s">
        <v>35</v>
      </c>
      <c r="P409" t="str">
        <f t="shared" si="12"/>
        <v>High Value</v>
      </c>
      <c r="Q409" t="str">
        <f t="shared" si="13"/>
        <v>High</v>
      </c>
      <c r="R409" t="str" cm="1">
        <f t="array" ref="R409">_xlfn.IFS(L409&gt;50000,"Premium",L409&gt;20000,"High",L409&gt;5000,"Medium",TRUE,"Low")</f>
        <v>High</v>
      </c>
    </row>
    <row r="410" spans="1:18" x14ac:dyDescent="0.3">
      <c r="A410" t="s">
        <v>1015</v>
      </c>
      <c r="B410" s="1">
        <v>45243</v>
      </c>
      <c r="C410" t="s">
        <v>257</v>
      </c>
      <c r="D410" t="s">
        <v>98</v>
      </c>
      <c r="E410" t="s">
        <v>31</v>
      </c>
      <c r="F410" t="s">
        <v>74</v>
      </c>
      <c r="G410" t="s">
        <v>75</v>
      </c>
      <c r="H410">
        <v>5</v>
      </c>
      <c r="I410">
        <v>2200</v>
      </c>
      <c r="J410">
        <v>25</v>
      </c>
      <c r="K410">
        <v>2750</v>
      </c>
      <c r="L410">
        <v>8250</v>
      </c>
      <c r="M410">
        <v>434.29</v>
      </c>
      <c r="N410" t="s">
        <v>21</v>
      </c>
      <c r="O410" t="s">
        <v>95</v>
      </c>
      <c r="P410" t="str">
        <f t="shared" si="12"/>
        <v>Low Value</v>
      </c>
      <c r="Q410" t="str">
        <f t="shared" si="13"/>
        <v>Medium</v>
      </c>
      <c r="R410" t="str" cm="1">
        <f t="array" ref="R410">_xlfn.IFS(L410&gt;50000,"Premium",L410&gt;20000,"High",L410&gt;5000,"Medium",TRUE,"Low")</f>
        <v>Medium</v>
      </c>
    </row>
    <row r="411" spans="1:18" x14ac:dyDescent="0.3">
      <c r="A411" t="s">
        <v>1016</v>
      </c>
      <c r="B411" s="1">
        <v>45051</v>
      </c>
      <c r="C411" t="s">
        <v>665</v>
      </c>
      <c r="D411" t="s">
        <v>1017</v>
      </c>
      <c r="E411" t="s">
        <v>78</v>
      </c>
      <c r="F411" t="s">
        <v>19</v>
      </c>
      <c r="G411" t="s">
        <v>236</v>
      </c>
      <c r="H411">
        <v>3</v>
      </c>
      <c r="I411">
        <v>800</v>
      </c>
      <c r="J411">
        <v>15</v>
      </c>
      <c r="K411">
        <v>360</v>
      </c>
      <c r="L411">
        <v>2040</v>
      </c>
      <c r="M411">
        <v>662.55</v>
      </c>
      <c r="N411" t="s">
        <v>21</v>
      </c>
      <c r="O411" t="s">
        <v>35</v>
      </c>
      <c r="P411" t="str">
        <f t="shared" si="12"/>
        <v>Low Value</v>
      </c>
      <c r="Q411" t="str">
        <f t="shared" si="13"/>
        <v>Low</v>
      </c>
      <c r="R411" t="str" cm="1">
        <f t="array" ref="R411">_xlfn.IFS(L411&gt;50000,"Premium",L411&gt;20000,"High",L411&gt;5000,"Medium",TRUE,"Low")</f>
        <v>Low</v>
      </c>
    </row>
    <row r="412" spans="1:18" x14ac:dyDescent="0.3">
      <c r="A412" t="s">
        <v>1018</v>
      </c>
      <c r="B412" s="1">
        <v>44939</v>
      </c>
      <c r="C412" t="s">
        <v>983</v>
      </c>
      <c r="D412" t="s">
        <v>631</v>
      </c>
      <c r="E412" t="s">
        <v>78</v>
      </c>
      <c r="F412" t="s">
        <v>74</v>
      </c>
      <c r="G412" t="s">
        <v>250</v>
      </c>
      <c r="H412">
        <v>3</v>
      </c>
      <c r="I412">
        <v>3500</v>
      </c>
      <c r="J412">
        <v>20</v>
      </c>
      <c r="K412">
        <v>2100</v>
      </c>
      <c r="L412">
        <v>8400</v>
      </c>
      <c r="M412">
        <v>2443.1</v>
      </c>
      <c r="N412" t="s">
        <v>27</v>
      </c>
      <c r="O412" t="s">
        <v>35</v>
      </c>
      <c r="P412" t="str">
        <f t="shared" si="12"/>
        <v>Low Value</v>
      </c>
      <c r="Q412" t="str">
        <f t="shared" si="13"/>
        <v>Medium</v>
      </c>
      <c r="R412" t="str" cm="1">
        <f t="array" ref="R412">_xlfn.IFS(L412&gt;50000,"Premium",L412&gt;20000,"High",L412&gt;5000,"Medium",TRUE,"Low")</f>
        <v>Medium</v>
      </c>
    </row>
    <row r="413" spans="1:18" x14ac:dyDescent="0.3">
      <c r="A413" t="s">
        <v>1019</v>
      </c>
      <c r="B413" s="1">
        <v>45190</v>
      </c>
      <c r="C413" t="s">
        <v>1020</v>
      </c>
      <c r="D413" t="s">
        <v>1021</v>
      </c>
      <c r="E413" t="s">
        <v>31</v>
      </c>
      <c r="F413" t="s">
        <v>19</v>
      </c>
      <c r="G413" t="s">
        <v>20</v>
      </c>
      <c r="H413">
        <v>2</v>
      </c>
      <c r="I413">
        <v>18000</v>
      </c>
      <c r="J413">
        <v>20</v>
      </c>
      <c r="K413">
        <v>7200</v>
      </c>
      <c r="L413">
        <v>28800</v>
      </c>
      <c r="M413">
        <v>6046.9</v>
      </c>
      <c r="N413" t="s">
        <v>41</v>
      </c>
      <c r="O413" t="s">
        <v>35</v>
      </c>
      <c r="P413" t="str">
        <f t="shared" si="12"/>
        <v>High Value</v>
      </c>
      <c r="Q413" t="str">
        <f t="shared" si="13"/>
        <v>High</v>
      </c>
      <c r="R413" t="str" cm="1">
        <f t="array" ref="R413">_xlfn.IFS(L413&gt;50000,"Premium",L413&gt;20000,"High",L413&gt;5000,"Medium",TRUE,"Low")</f>
        <v>High</v>
      </c>
    </row>
    <row r="414" spans="1:18" x14ac:dyDescent="0.3">
      <c r="A414" t="s">
        <v>1022</v>
      </c>
      <c r="B414" s="1">
        <v>45032</v>
      </c>
      <c r="C414" t="s">
        <v>1023</v>
      </c>
      <c r="D414" t="s">
        <v>393</v>
      </c>
      <c r="E414" t="s">
        <v>54</v>
      </c>
      <c r="F414" t="s">
        <v>74</v>
      </c>
      <c r="G414" t="s">
        <v>250</v>
      </c>
      <c r="H414">
        <v>4</v>
      </c>
      <c r="I414">
        <v>3500</v>
      </c>
      <c r="J414">
        <v>25</v>
      </c>
      <c r="K414">
        <v>3500</v>
      </c>
      <c r="L414">
        <v>10500</v>
      </c>
      <c r="M414">
        <v>3097.78</v>
      </c>
      <c r="N414" t="s">
        <v>34</v>
      </c>
      <c r="O414" t="s">
        <v>35</v>
      </c>
      <c r="P414" t="str">
        <f t="shared" si="12"/>
        <v>Low Value</v>
      </c>
      <c r="Q414" t="str">
        <f t="shared" si="13"/>
        <v>Medium</v>
      </c>
      <c r="R414" t="str" cm="1">
        <f t="array" ref="R414">_xlfn.IFS(L414&gt;50000,"Premium",L414&gt;20000,"High",L414&gt;5000,"Medium",TRUE,"Low")</f>
        <v>Medium</v>
      </c>
    </row>
    <row r="415" spans="1:18" x14ac:dyDescent="0.3">
      <c r="A415" t="s">
        <v>1024</v>
      </c>
      <c r="B415" s="1">
        <v>44971</v>
      </c>
      <c r="C415" t="s">
        <v>303</v>
      </c>
      <c r="D415" t="s">
        <v>586</v>
      </c>
      <c r="E415" t="s">
        <v>26</v>
      </c>
      <c r="F415" t="s">
        <v>19</v>
      </c>
      <c r="G415" t="s">
        <v>20</v>
      </c>
      <c r="H415">
        <v>2</v>
      </c>
      <c r="I415">
        <v>18000</v>
      </c>
      <c r="J415">
        <v>10</v>
      </c>
      <c r="K415">
        <v>3600</v>
      </c>
      <c r="L415">
        <v>32400</v>
      </c>
      <c r="M415">
        <v>7044.58</v>
      </c>
      <c r="N415" t="s">
        <v>41</v>
      </c>
      <c r="O415" t="s">
        <v>22</v>
      </c>
      <c r="P415" t="str">
        <f t="shared" si="12"/>
        <v>High Value</v>
      </c>
      <c r="Q415" t="str">
        <f t="shared" si="13"/>
        <v>High</v>
      </c>
      <c r="R415" t="str" cm="1">
        <f t="array" ref="R415">_xlfn.IFS(L415&gt;50000,"Premium",L415&gt;20000,"High",L415&gt;5000,"Medium",TRUE,"Low")</f>
        <v>High</v>
      </c>
    </row>
    <row r="416" spans="1:18" x14ac:dyDescent="0.3">
      <c r="A416" t="s">
        <v>1025</v>
      </c>
      <c r="B416" s="1">
        <v>45249</v>
      </c>
      <c r="C416" t="s">
        <v>657</v>
      </c>
      <c r="D416" t="s">
        <v>1026</v>
      </c>
      <c r="E416" t="s">
        <v>18</v>
      </c>
      <c r="F416" t="s">
        <v>39</v>
      </c>
      <c r="G416" t="s">
        <v>219</v>
      </c>
      <c r="H416">
        <v>3</v>
      </c>
      <c r="I416">
        <v>18000</v>
      </c>
      <c r="J416">
        <v>0</v>
      </c>
      <c r="K416">
        <v>0</v>
      </c>
      <c r="L416">
        <v>54000</v>
      </c>
      <c r="M416">
        <v>9009.93</v>
      </c>
      <c r="N416" t="s">
        <v>21</v>
      </c>
      <c r="O416" t="s">
        <v>35</v>
      </c>
      <c r="P416" t="str">
        <f t="shared" si="12"/>
        <v>High Value</v>
      </c>
      <c r="Q416" t="str">
        <f t="shared" si="13"/>
        <v>Premium</v>
      </c>
      <c r="R416" t="str" cm="1">
        <f t="array" ref="R416">_xlfn.IFS(L416&gt;50000,"Premium",L416&gt;20000,"High",L416&gt;5000,"Medium",TRUE,"Low")</f>
        <v>Premium</v>
      </c>
    </row>
    <row r="417" spans="1:18" x14ac:dyDescent="0.3">
      <c r="A417" t="s">
        <v>1027</v>
      </c>
      <c r="B417" s="1">
        <v>45285</v>
      </c>
      <c r="C417" t="s">
        <v>387</v>
      </c>
      <c r="D417" t="s">
        <v>741</v>
      </c>
      <c r="E417" t="s">
        <v>18</v>
      </c>
      <c r="F417" t="s">
        <v>49</v>
      </c>
      <c r="G417" t="s">
        <v>50</v>
      </c>
      <c r="H417">
        <v>3</v>
      </c>
      <c r="I417">
        <v>499</v>
      </c>
      <c r="J417">
        <v>20</v>
      </c>
      <c r="K417">
        <v>299.39999999999998</v>
      </c>
      <c r="L417">
        <v>1197.5999999999999</v>
      </c>
      <c r="M417">
        <v>98.01</v>
      </c>
      <c r="N417" t="s">
        <v>34</v>
      </c>
      <c r="O417" t="s">
        <v>22</v>
      </c>
      <c r="P417" t="str">
        <f t="shared" si="12"/>
        <v>Low Value</v>
      </c>
      <c r="Q417" t="str">
        <f t="shared" si="13"/>
        <v>Low</v>
      </c>
      <c r="R417" t="str" cm="1">
        <f t="array" ref="R417">_xlfn.IFS(L417&gt;50000,"Premium",L417&gt;20000,"High",L417&gt;5000,"Medium",TRUE,"Low")</f>
        <v>Low</v>
      </c>
    </row>
    <row r="418" spans="1:18" x14ac:dyDescent="0.3">
      <c r="A418" t="s">
        <v>1028</v>
      </c>
      <c r="B418" s="1">
        <v>45122</v>
      </c>
      <c r="C418" t="s">
        <v>200</v>
      </c>
      <c r="D418" t="s">
        <v>1029</v>
      </c>
      <c r="E418" t="s">
        <v>78</v>
      </c>
      <c r="F418" t="s">
        <v>39</v>
      </c>
      <c r="G418" t="s">
        <v>209</v>
      </c>
      <c r="H418">
        <v>1</v>
      </c>
      <c r="I418">
        <v>3200</v>
      </c>
      <c r="J418">
        <v>15</v>
      </c>
      <c r="K418">
        <v>480</v>
      </c>
      <c r="L418">
        <v>2720</v>
      </c>
      <c r="M418">
        <v>263.56</v>
      </c>
      <c r="N418" t="s">
        <v>27</v>
      </c>
      <c r="O418" t="s">
        <v>35</v>
      </c>
      <c r="P418" t="str">
        <f t="shared" si="12"/>
        <v>Low Value</v>
      </c>
      <c r="Q418" t="str">
        <f t="shared" si="13"/>
        <v>Low</v>
      </c>
      <c r="R418" t="str" cm="1">
        <f t="array" ref="R418">_xlfn.IFS(L418&gt;50000,"Premium",L418&gt;20000,"High",L418&gt;5000,"Medium",TRUE,"Low")</f>
        <v>Low</v>
      </c>
    </row>
    <row r="419" spans="1:18" x14ac:dyDescent="0.3">
      <c r="A419" t="s">
        <v>1030</v>
      </c>
      <c r="B419" s="1">
        <v>45273</v>
      </c>
      <c r="C419" t="s">
        <v>648</v>
      </c>
      <c r="D419" t="s">
        <v>949</v>
      </c>
      <c r="E419" t="s">
        <v>59</v>
      </c>
      <c r="F419" t="s">
        <v>49</v>
      </c>
      <c r="G419" t="s">
        <v>753</v>
      </c>
      <c r="H419">
        <v>3</v>
      </c>
      <c r="I419">
        <v>299</v>
      </c>
      <c r="J419">
        <v>0</v>
      </c>
      <c r="K419">
        <v>0</v>
      </c>
      <c r="L419">
        <v>897</v>
      </c>
      <c r="M419">
        <v>193.8</v>
      </c>
      <c r="N419" t="s">
        <v>99</v>
      </c>
      <c r="O419" t="s">
        <v>95</v>
      </c>
      <c r="P419" t="str">
        <f t="shared" si="12"/>
        <v>Low Value</v>
      </c>
      <c r="Q419" t="str">
        <f t="shared" si="13"/>
        <v>Low</v>
      </c>
      <c r="R419" t="str" cm="1">
        <f t="array" ref="R419">_xlfn.IFS(L419&gt;50000,"Premium",L419&gt;20000,"High",L419&gt;5000,"Medium",TRUE,"Low")</f>
        <v>Low</v>
      </c>
    </row>
    <row r="420" spans="1:18" x14ac:dyDescent="0.3">
      <c r="A420" t="s">
        <v>1031</v>
      </c>
      <c r="B420" s="1">
        <v>45232</v>
      </c>
      <c r="C420" t="s">
        <v>374</v>
      </c>
      <c r="D420" t="s">
        <v>1032</v>
      </c>
      <c r="E420" t="s">
        <v>26</v>
      </c>
      <c r="F420" t="s">
        <v>39</v>
      </c>
      <c r="G420" t="s">
        <v>79</v>
      </c>
      <c r="H420">
        <v>5</v>
      </c>
      <c r="I420">
        <v>25000</v>
      </c>
      <c r="J420">
        <v>0</v>
      </c>
      <c r="K420">
        <v>0</v>
      </c>
      <c r="L420">
        <v>125000</v>
      </c>
      <c r="M420">
        <v>17675.919999999998</v>
      </c>
      <c r="N420" t="s">
        <v>21</v>
      </c>
      <c r="O420" t="s">
        <v>35</v>
      </c>
      <c r="P420" t="str">
        <f t="shared" si="12"/>
        <v>High Value</v>
      </c>
      <c r="Q420" t="str">
        <f t="shared" si="13"/>
        <v>Premium</v>
      </c>
      <c r="R420" t="str" cm="1">
        <f t="array" ref="R420">_xlfn.IFS(L420&gt;50000,"Premium",L420&gt;20000,"High",L420&gt;5000,"Medium",TRUE,"Low")</f>
        <v>Premium</v>
      </c>
    </row>
    <row r="421" spans="1:18" x14ac:dyDescent="0.3">
      <c r="A421" t="s">
        <v>1033</v>
      </c>
      <c r="B421" s="1">
        <v>45009</v>
      </c>
      <c r="C421" t="s">
        <v>418</v>
      </c>
      <c r="D421" t="s">
        <v>861</v>
      </c>
      <c r="E421" t="s">
        <v>54</v>
      </c>
      <c r="F421" t="s">
        <v>69</v>
      </c>
      <c r="G421" t="s">
        <v>202</v>
      </c>
      <c r="H421">
        <v>5</v>
      </c>
      <c r="I421">
        <v>1299</v>
      </c>
      <c r="J421">
        <v>10</v>
      </c>
      <c r="K421">
        <v>649.5</v>
      </c>
      <c r="L421">
        <v>5845.5</v>
      </c>
      <c r="M421">
        <v>633.05999999999995</v>
      </c>
      <c r="N421" t="s">
        <v>21</v>
      </c>
      <c r="O421" t="s">
        <v>35</v>
      </c>
      <c r="P421" t="str">
        <f t="shared" si="12"/>
        <v>Low Value</v>
      </c>
      <c r="Q421" t="str">
        <f t="shared" si="13"/>
        <v>Medium</v>
      </c>
      <c r="R421" t="str" cm="1">
        <f t="array" ref="R421">_xlfn.IFS(L421&gt;50000,"Premium",L421&gt;20000,"High",L421&gt;5000,"Medium",TRUE,"Low")</f>
        <v>Medium</v>
      </c>
    </row>
    <row r="422" spans="1:18" x14ac:dyDescent="0.3">
      <c r="A422" t="s">
        <v>1034</v>
      </c>
      <c r="B422" s="1">
        <v>45075</v>
      </c>
      <c r="C422" t="s">
        <v>1035</v>
      </c>
      <c r="D422" t="s">
        <v>1036</v>
      </c>
      <c r="E422" t="s">
        <v>48</v>
      </c>
      <c r="F422" t="s">
        <v>60</v>
      </c>
      <c r="G422" t="s">
        <v>291</v>
      </c>
      <c r="H422">
        <v>3</v>
      </c>
      <c r="I422">
        <v>450</v>
      </c>
      <c r="J422">
        <v>0</v>
      </c>
      <c r="K422">
        <v>0</v>
      </c>
      <c r="L422">
        <v>1350</v>
      </c>
      <c r="M422">
        <v>147.44999999999999</v>
      </c>
      <c r="N422" t="s">
        <v>27</v>
      </c>
      <c r="O422" t="s">
        <v>35</v>
      </c>
      <c r="P422" t="str">
        <f t="shared" si="12"/>
        <v>Low Value</v>
      </c>
      <c r="Q422" t="str">
        <f t="shared" si="13"/>
        <v>Low</v>
      </c>
      <c r="R422" t="str" cm="1">
        <f t="array" ref="R422">_xlfn.IFS(L422&gt;50000,"Premium",L422&gt;20000,"High",L422&gt;5000,"Medium",TRUE,"Low")</f>
        <v>Low</v>
      </c>
    </row>
    <row r="423" spans="1:18" x14ac:dyDescent="0.3">
      <c r="A423" t="s">
        <v>1037</v>
      </c>
      <c r="B423" s="1">
        <v>44978</v>
      </c>
      <c r="C423" t="s">
        <v>523</v>
      </c>
      <c r="D423" t="s">
        <v>182</v>
      </c>
      <c r="E423" t="s">
        <v>78</v>
      </c>
      <c r="F423" t="s">
        <v>32</v>
      </c>
      <c r="G423" t="s">
        <v>361</v>
      </c>
      <c r="H423">
        <v>1</v>
      </c>
      <c r="I423">
        <v>90</v>
      </c>
      <c r="J423">
        <v>5</v>
      </c>
      <c r="K423">
        <v>4.5</v>
      </c>
      <c r="L423">
        <v>85.5</v>
      </c>
      <c r="M423">
        <v>12.43</v>
      </c>
      <c r="N423" t="s">
        <v>21</v>
      </c>
      <c r="O423" t="s">
        <v>35</v>
      </c>
      <c r="P423" t="str">
        <f t="shared" si="12"/>
        <v>Low Value</v>
      </c>
      <c r="Q423" t="str">
        <f t="shared" si="13"/>
        <v>Low</v>
      </c>
      <c r="R423" t="str" cm="1">
        <f t="array" ref="R423">_xlfn.IFS(L423&gt;50000,"Premium",L423&gt;20000,"High",L423&gt;5000,"Medium",TRUE,"Low")</f>
        <v>Low</v>
      </c>
    </row>
    <row r="424" spans="1:18" x14ac:dyDescent="0.3">
      <c r="A424" t="s">
        <v>1038</v>
      </c>
      <c r="B424" s="1">
        <v>45216</v>
      </c>
      <c r="C424" t="s">
        <v>712</v>
      </c>
      <c r="D424" t="s">
        <v>637</v>
      </c>
      <c r="E424" t="s">
        <v>26</v>
      </c>
      <c r="F424" t="s">
        <v>74</v>
      </c>
      <c r="G424" t="s">
        <v>341</v>
      </c>
      <c r="H424">
        <v>3</v>
      </c>
      <c r="I424">
        <v>700</v>
      </c>
      <c r="J424">
        <v>15</v>
      </c>
      <c r="K424">
        <v>315</v>
      </c>
      <c r="L424">
        <v>1785</v>
      </c>
      <c r="M424">
        <v>179.56</v>
      </c>
      <c r="N424" t="s">
        <v>34</v>
      </c>
      <c r="O424" t="s">
        <v>35</v>
      </c>
      <c r="P424" t="str">
        <f t="shared" si="12"/>
        <v>Low Value</v>
      </c>
      <c r="Q424" t="str">
        <f t="shared" si="13"/>
        <v>Low</v>
      </c>
      <c r="R424" t="str" cm="1">
        <f t="array" ref="R424">_xlfn.IFS(L424&gt;50000,"Premium",L424&gt;20000,"High",L424&gt;5000,"Medium",TRUE,"Low")</f>
        <v>Low</v>
      </c>
    </row>
    <row r="425" spans="1:18" x14ac:dyDescent="0.3">
      <c r="A425" t="s">
        <v>1039</v>
      </c>
      <c r="B425" s="1">
        <v>44995</v>
      </c>
      <c r="C425" t="s">
        <v>747</v>
      </c>
      <c r="D425" t="s">
        <v>278</v>
      </c>
      <c r="E425" t="s">
        <v>18</v>
      </c>
      <c r="F425" t="s">
        <v>60</v>
      </c>
      <c r="G425" t="s">
        <v>115</v>
      </c>
      <c r="H425">
        <v>3</v>
      </c>
      <c r="I425">
        <v>1800</v>
      </c>
      <c r="J425">
        <v>15</v>
      </c>
      <c r="K425">
        <v>810</v>
      </c>
      <c r="L425">
        <v>4590</v>
      </c>
      <c r="M425">
        <v>866.84</v>
      </c>
      <c r="N425" t="s">
        <v>27</v>
      </c>
      <c r="O425" t="s">
        <v>95</v>
      </c>
      <c r="P425" t="str">
        <f t="shared" si="12"/>
        <v>Low Value</v>
      </c>
      <c r="Q425" t="str">
        <f t="shared" si="13"/>
        <v>Low</v>
      </c>
      <c r="R425" t="str" cm="1">
        <f t="array" ref="R425">_xlfn.IFS(L425&gt;50000,"Premium",L425&gt;20000,"High",L425&gt;5000,"Medium",TRUE,"Low")</f>
        <v>Low</v>
      </c>
    </row>
    <row r="426" spans="1:18" x14ac:dyDescent="0.3">
      <c r="A426" t="s">
        <v>1040</v>
      </c>
      <c r="B426" s="1">
        <v>44968</v>
      </c>
      <c r="C426" t="s">
        <v>1041</v>
      </c>
      <c r="D426" t="s">
        <v>1042</v>
      </c>
      <c r="E426" t="s">
        <v>59</v>
      </c>
      <c r="F426" t="s">
        <v>49</v>
      </c>
      <c r="G426" t="s">
        <v>161</v>
      </c>
      <c r="H426">
        <v>2</v>
      </c>
      <c r="I426">
        <v>599</v>
      </c>
      <c r="J426">
        <v>20</v>
      </c>
      <c r="K426">
        <v>239.6</v>
      </c>
      <c r="L426">
        <v>958.4</v>
      </c>
      <c r="M426">
        <v>104.4</v>
      </c>
      <c r="N426" t="s">
        <v>21</v>
      </c>
      <c r="O426" t="s">
        <v>35</v>
      </c>
      <c r="P426" t="str">
        <f t="shared" si="12"/>
        <v>Low Value</v>
      </c>
      <c r="Q426" t="str">
        <f t="shared" si="13"/>
        <v>Low</v>
      </c>
      <c r="R426" t="str" cm="1">
        <f t="array" ref="R426">_xlfn.IFS(L426&gt;50000,"Premium",L426&gt;20000,"High",L426&gt;5000,"Medium",TRUE,"Low")</f>
        <v>Low</v>
      </c>
    </row>
    <row r="427" spans="1:18" x14ac:dyDescent="0.3">
      <c r="A427" t="s">
        <v>1043</v>
      </c>
      <c r="B427" s="1">
        <v>45224</v>
      </c>
      <c r="C427" t="s">
        <v>544</v>
      </c>
      <c r="D427" t="s">
        <v>1044</v>
      </c>
      <c r="E427" t="s">
        <v>54</v>
      </c>
      <c r="F427" t="s">
        <v>74</v>
      </c>
      <c r="G427" t="s">
        <v>75</v>
      </c>
      <c r="H427">
        <v>5</v>
      </c>
      <c r="I427">
        <v>2200</v>
      </c>
      <c r="J427">
        <v>5</v>
      </c>
      <c r="K427">
        <v>550</v>
      </c>
      <c r="L427">
        <v>10450</v>
      </c>
      <c r="M427">
        <v>3363.76</v>
      </c>
      <c r="N427" t="s">
        <v>27</v>
      </c>
      <c r="O427" t="s">
        <v>35</v>
      </c>
      <c r="P427" t="str">
        <f t="shared" si="12"/>
        <v>Low Value</v>
      </c>
      <c r="Q427" t="str">
        <f t="shared" si="13"/>
        <v>Medium</v>
      </c>
      <c r="R427" t="str" cm="1">
        <f t="array" ref="R427">_xlfn.IFS(L427&gt;50000,"Premium",L427&gt;20000,"High",L427&gt;5000,"Medium",TRUE,"Low")</f>
        <v>Medium</v>
      </c>
    </row>
    <row r="428" spans="1:18" x14ac:dyDescent="0.3">
      <c r="A428" t="s">
        <v>1045</v>
      </c>
      <c r="B428" s="1">
        <v>45127</v>
      </c>
      <c r="C428" t="s">
        <v>1046</v>
      </c>
      <c r="D428" t="s">
        <v>1047</v>
      </c>
      <c r="E428" t="s">
        <v>18</v>
      </c>
      <c r="F428" t="s">
        <v>69</v>
      </c>
      <c r="G428" t="s">
        <v>111</v>
      </c>
      <c r="H428">
        <v>5</v>
      </c>
      <c r="I428">
        <v>3499</v>
      </c>
      <c r="J428">
        <v>25</v>
      </c>
      <c r="K428">
        <v>4373.75</v>
      </c>
      <c r="L428">
        <v>13121.25</v>
      </c>
      <c r="M428">
        <v>4030.18</v>
      </c>
      <c r="N428" t="s">
        <v>41</v>
      </c>
      <c r="O428" t="s">
        <v>35</v>
      </c>
      <c r="P428" t="str">
        <f t="shared" si="12"/>
        <v>Low Value</v>
      </c>
      <c r="Q428" t="str">
        <f t="shared" si="13"/>
        <v>Medium</v>
      </c>
      <c r="R428" t="str" cm="1">
        <f t="array" ref="R428">_xlfn.IFS(L428&gt;50000,"Premium",L428&gt;20000,"High",L428&gt;5000,"Medium",TRUE,"Low")</f>
        <v>Medium</v>
      </c>
    </row>
    <row r="429" spans="1:18" x14ac:dyDescent="0.3">
      <c r="A429" t="s">
        <v>1048</v>
      </c>
      <c r="B429" s="1">
        <v>45184</v>
      </c>
      <c r="C429" t="s">
        <v>1049</v>
      </c>
      <c r="D429" t="s">
        <v>1050</v>
      </c>
      <c r="E429" t="s">
        <v>54</v>
      </c>
      <c r="F429" t="s">
        <v>19</v>
      </c>
      <c r="G429" t="s">
        <v>236</v>
      </c>
      <c r="H429">
        <v>2</v>
      </c>
      <c r="I429">
        <v>800</v>
      </c>
      <c r="J429">
        <v>20</v>
      </c>
      <c r="K429">
        <v>320</v>
      </c>
      <c r="L429">
        <v>1280</v>
      </c>
      <c r="M429">
        <v>326.72000000000003</v>
      </c>
      <c r="N429" t="s">
        <v>27</v>
      </c>
      <c r="O429" t="s">
        <v>35</v>
      </c>
      <c r="P429" t="str">
        <f t="shared" si="12"/>
        <v>Low Value</v>
      </c>
      <c r="Q429" t="str">
        <f t="shared" si="13"/>
        <v>Low</v>
      </c>
      <c r="R429" t="str" cm="1">
        <f t="array" ref="R429">_xlfn.IFS(L429&gt;50000,"Premium",L429&gt;20000,"High",L429&gt;5000,"Medium",TRUE,"Low")</f>
        <v>Low</v>
      </c>
    </row>
    <row r="430" spans="1:18" x14ac:dyDescent="0.3">
      <c r="A430" t="s">
        <v>1051</v>
      </c>
      <c r="B430" s="1">
        <v>45216</v>
      </c>
      <c r="C430" t="s">
        <v>1052</v>
      </c>
      <c r="D430" t="s">
        <v>1053</v>
      </c>
      <c r="E430" t="s">
        <v>31</v>
      </c>
      <c r="F430" t="s">
        <v>74</v>
      </c>
      <c r="G430" t="s">
        <v>192</v>
      </c>
      <c r="H430">
        <v>2</v>
      </c>
      <c r="I430">
        <v>12000</v>
      </c>
      <c r="J430">
        <v>25</v>
      </c>
      <c r="K430">
        <v>6000</v>
      </c>
      <c r="L430">
        <v>18000</v>
      </c>
      <c r="M430">
        <v>4852.82</v>
      </c>
      <c r="N430" t="s">
        <v>41</v>
      </c>
      <c r="O430" t="s">
        <v>35</v>
      </c>
      <c r="P430" t="str">
        <f t="shared" si="12"/>
        <v>Low Value</v>
      </c>
      <c r="Q430" t="str">
        <f t="shared" si="13"/>
        <v>Medium</v>
      </c>
      <c r="R430" t="str" cm="1">
        <f t="array" ref="R430">_xlfn.IFS(L430&gt;50000,"Premium",L430&gt;20000,"High",L430&gt;5000,"Medium",TRUE,"Low")</f>
        <v>Medium</v>
      </c>
    </row>
    <row r="431" spans="1:18" x14ac:dyDescent="0.3">
      <c r="A431" t="s">
        <v>1054</v>
      </c>
      <c r="B431" s="1">
        <v>44959</v>
      </c>
      <c r="C431" t="s">
        <v>1055</v>
      </c>
      <c r="D431" t="s">
        <v>562</v>
      </c>
      <c r="E431" t="s">
        <v>54</v>
      </c>
      <c r="F431" t="s">
        <v>32</v>
      </c>
      <c r="G431" t="s">
        <v>309</v>
      </c>
      <c r="H431">
        <v>2</v>
      </c>
      <c r="I431">
        <v>180</v>
      </c>
      <c r="J431">
        <v>0</v>
      </c>
      <c r="K431">
        <v>0</v>
      </c>
      <c r="L431">
        <v>360</v>
      </c>
      <c r="M431">
        <v>90.21</v>
      </c>
      <c r="N431" t="s">
        <v>41</v>
      </c>
      <c r="O431" t="s">
        <v>35</v>
      </c>
      <c r="P431" t="str">
        <f t="shared" si="12"/>
        <v>Low Value</v>
      </c>
      <c r="Q431" t="str">
        <f t="shared" si="13"/>
        <v>Low</v>
      </c>
      <c r="R431" t="str" cm="1">
        <f t="array" ref="R431">_xlfn.IFS(L431&gt;50000,"Premium",L431&gt;20000,"High",L431&gt;5000,"Medium",TRUE,"Low")</f>
        <v>Low</v>
      </c>
    </row>
    <row r="432" spans="1:18" x14ac:dyDescent="0.3">
      <c r="A432" t="s">
        <v>1056</v>
      </c>
      <c r="B432" s="1">
        <v>44947</v>
      </c>
      <c r="C432" t="s">
        <v>943</v>
      </c>
      <c r="D432" t="s">
        <v>1057</v>
      </c>
      <c r="E432" t="s">
        <v>83</v>
      </c>
      <c r="F432" t="s">
        <v>60</v>
      </c>
      <c r="G432" t="s">
        <v>141</v>
      </c>
      <c r="H432">
        <v>1</v>
      </c>
      <c r="I432">
        <v>350</v>
      </c>
      <c r="J432">
        <v>25</v>
      </c>
      <c r="K432">
        <v>87.5</v>
      </c>
      <c r="L432">
        <v>262.5</v>
      </c>
      <c r="M432">
        <v>89.39</v>
      </c>
      <c r="N432" t="s">
        <v>41</v>
      </c>
      <c r="O432" t="s">
        <v>22</v>
      </c>
      <c r="P432" t="str">
        <f t="shared" si="12"/>
        <v>Low Value</v>
      </c>
      <c r="Q432" t="str">
        <f t="shared" si="13"/>
        <v>Low</v>
      </c>
      <c r="R432" t="str" cm="1">
        <f t="array" ref="R432">_xlfn.IFS(L432&gt;50000,"Premium",L432&gt;20000,"High",L432&gt;5000,"Medium",TRUE,"Low")</f>
        <v>Low</v>
      </c>
    </row>
    <row r="433" spans="1:18" x14ac:dyDescent="0.3">
      <c r="A433" t="s">
        <v>1058</v>
      </c>
      <c r="B433" s="1">
        <v>45114</v>
      </c>
      <c r="C433" t="s">
        <v>1059</v>
      </c>
      <c r="D433" t="s">
        <v>1060</v>
      </c>
      <c r="E433" t="s">
        <v>26</v>
      </c>
      <c r="F433" t="s">
        <v>74</v>
      </c>
      <c r="G433" t="s">
        <v>192</v>
      </c>
      <c r="H433">
        <v>1</v>
      </c>
      <c r="I433">
        <v>12000</v>
      </c>
      <c r="J433">
        <v>20</v>
      </c>
      <c r="K433">
        <v>2400</v>
      </c>
      <c r="L433">
        <v>9600</v>
      </c>
      <c r="M433">
        <v>1204.57</v>
      </c>
      <c r="N433" t="s">
        <v>34</v>
      </c>
      <c r="O433" t="s">
        <v>35</v>
      </c>
      <c r="P433" t="str">
        <f t="shared" si="12"/>
        <v>Low Value</v>
      </c>
      <c r="Q433" t="str">
        <f t="shared" si="13"/>
        <v>Medium</v>
      </c>
      <c r="R433" t="str" cm="1">
        <f t="array" ref="R433">_xlfn.IFS(L433&gt;50000,"Premium",L433&gt;20000,"High",L433&gt;5000,"Medium",TRUE,"Low")</f>
        <v>Medium</v>
      </c>
    </row>
    <row r="434" spans="1:18" x14ac:dyDescent="0.3">
      <c r="A434" t="s">
        <v>1061</v>
      </c>
      <c r="B434" s="1">
        <v>45176</v>
      </c>
      <c r="C434" t="s">
        <v>1062</v>
      </c>
      <c r="D434" t="s">
        <v>1009</v>
      </c>
      <c r="E434" t="s">
        <v>31</v>
      </c>
      <c r="F434" t="s">
        <v>49</v>
      </c>
      <c r="G434" t="s">
        <v>603</v>
      </c>
      <c r="H434">
        <v>5</v>
      </c>
      <c r="I434">
        <v>449</v>
      </c>
      <c r="J434">
        <v>0</v>
      </c>
      <c r="K434">
        <v>0</v>
      </c>
      <c r="L434">
        <v>2245</v>
      </c>
      <c r="M434">
        <v>450.24</v>
      </c>
      <c r="N434" t="s">
        <v>99</v>
      </c>
      <c r="O434" t="s">
        <v>95</v>
      </c>
      <c r="P434" t="str">
        <f t="shared" si="12"/>
        <v>Low Value</v>
      </c>
      <c r="Q434" t="str">
        <f t="shared" si="13"/>
        <v>Low</v>
      </c>
      <c r="R434" t="str" cm="1">
        <f t="array" ref="R434">_xlfn.IFS(L434&gt;50000,"Premium",L434&gt;20000,"High",L434&gt;5000,"Medium",TRUE,"Low")</f>
        <v>Low</v>
      </c>
    </row>
    <row r="435" spans="1:18" x14ac:dyDescent="0.3">
      <c r="A435" t="s">
        <v>1063</v>
      </c>
      <c r="B435" s="1">
        <v>45256</v>
      </c>
      <c r="C435" t="s">
        <v>1064</v>
      </c>
      <c r="D435" t="s">
        <v>114</v>
      </c>
      <c r="E435" t="s">
        <v>26</v>
      </c>
      <c r="F435" t="s">
        <v>32</v>
      </c>
      <c r="G435" t="s">
        <v>148</v>
      </c>
      <c r="H435">
        <v>2</v>
      </c>
      <c r="I435">
        <v>120</v>
      </c>
      <c r="J435">
        <v>5</v>
      </c>
      <c r="K435">
        <v>12</v>
      </c>
      <c r="L435">
        <v>228</v>
      </c>
      <c r="M435">
        <v>22.16</v>
      </c>
      <c r="N435" t="s">
        <v>34</v>
      </c>
      <c r="O435" t="s">
        <v>35</v>
      </c>
      <c r="P435" t="str">
        <f t="shared" si="12"/>
        <v>Low Value</v>
      </c>
      <c r="Q435" t="str">
        <f t="shared" si="13"/>
        <v>Low</v>
      </c>
      <c r="R435" t="str" cm="1">
        <f t="array" ref="R435">_xlfn.IFS(L435&gt;50000,"Premium",L435&gt;20000,"High",L435&gt;5000,"Medium",TRUE,"Low")</f>
        <v>Low</v>
      </c>
    </row>
    <row r="436" spans="1:18" x14ac:dyDescent="0.3">
      <c r="A436" t="s">
        <v>1065</v>
      </c>
      <c r="B436" s="1">
        <v>45173</v>
      </c>
      <c r="C436" t="s">
        <v>296</v>
      </c>
      <c r="D436" t="s">
        <v>1066</v>
      </c>
      <c r="E436" t="s">
        <v>31</v>
      </c>
      <c r="F436" t="s">
        <v>60</v>
      </c>
      <c r="G436" t="s">
        <v>365</v>
      </c>
      <c r="H436">
        <v>4</v>
      </c>
      <c r="I436">
        <v>650</v>
      </c>
      <c r="J436">
        <v>5</v>
      </c>
      <c r="K436">
        <v>130</v>
      </c>
      <c r="L436">
        <v>2470</v>
      </c>
      <c r="M436">
        <v>561.28</v>
      </c>
      <c r="N436" t="s">
        <v>99</v>
      </c>
      <c r="O436" t="s">
        <v>35</v>
      </c>
      <c r="P436" t="str">
        <f t="shared" si="12"/>
        <v>Low Value</v>
      </c>
      <c r="Q436" t="str">
        <f t="shared" si="13"/>
        <v>Low</v>
      </c>
      <c r="R436" t="str" cm="1">
        <f t="array" ref="R436">_xlfn.IFS(L436&gt;50000,"Premium",L436&gt;20000,"High",L436&gt;5000,"Medium",TRUE,"Low")</f>
        <v>Low</v>
      </c>
    </row>
    <row r="437" spans="1:18" x14ac:dyDescent="0.3">
      <c r="A437" t="s">
        <v>1067</v>
      </c>
      <c r="B437" s="1">
        <v>45220</v>
      </c>
      <c r="C437" t="s">
        <v>1068</v>
      </c>
      <c r="D437" t="s">
        <v>1069</v>
      </c>
      <c r="E437" t="s">
        <v>59</v>
      </c>
      <c r="F437" t="s">
        <v>74</v>
      </c>
      <c r="G437" t="s">
        <v>381</v>
      </c>
      <c r="H437">
        <v>2</v>
      </c>
      <c r="I437">
        <v>800</v>
      </c>
      <c r="J437">
        <v>25</v>
      </c>
      <c r="K437">
        <v>400</v>
      </c>
      <c r="L437">
        <v>1200</v>
      </c>
      <c r="M437">
        <v>244.55</v>
      </c>
      <c r="N437" t="s">
        <v>27</v>
      </c>
      <c r="O437" t="s">
        <v>35</v>
      </c>
      <c r="P437" t="str">
        <f t="shared" si="12"/>
        <v>Low Value</v>
      </c>
      <c r="Q437" t="str">
        <f t="shared" si="13"/>
        <v>Low</v>
      </c>
      <c r="R437" t="str" cm="1">
        <f t="array" ref="R437">_xlfn.IFS(L437&gt;50000,"Premium",L437&gt;20000,"High",L437&gt;5000,"Medium",TRUE,"Low")</f>
        <v>Low</v>
      </c>
    </row>
    <row r="438" spans="1:18" x14ac:dyDescent="0.3">
      <c r="A438" t="s">
        <v>1070</v>
      </c>
      <c r="B438" s="1">
        <v>45019</v>
      </c>
      <c r="C438" t="s">
        <v>1071</v>
      </c>
      <c r="D438" t="s">
        <v>1072</v>
      </c>
      <c r="E438" t="s">
        <v>31</v>
      </c>
      <c r="F438" t="s">
        <v>74</v>
      </c>
      <c r="G438" t="s">
        <v>75</v>
      </c>
      <c r="H438">
        <v>5</v>
      </c>
      <c r="I438">
        <v>2200</v>
      </c>
      <c r="J438">
        <v>20</v>
      </c>
      <c r="K438">
        <v>2200</v>
      </c>
      <c r="L438">
        <v>8800</v>
      </c>
      <c r="M438">
        <v>2123.3200000000002</v>
      </c>
      <c r="N438" t="s">
        <v>41</v>
      </c>
      <c r="O438" t="s">
        <v>95</v>
      </c>
      <c r="P438" t="str">
        <f t="shared" si="12"/>
        <v>Low Value</v>
      </c>
      <c r="Q438" t="str">
        <f t="shared" si="13"/>
        <v>Medium</v>
      </c>
      <c r="R438" t="str" cm="1">
        <f t="array" ref="R438">_xlfn.IFS(L438&gt;50000,"Premium",L438&gt;20000,"High",L438&gt;5000,"Medium",TRUE,"Low")</f>
        <v>Medium</v>
      </c>
    </row>
    <row r="439" spans="1:18" x14ac:dyDescent="0.3">
      <c r="A439" t="s">
        <v>1073</v>
      </c>
      <c r="B439" s="1">
        <v>45168</v>
      </c>
      <c r="C439" t="s">
        <v>1074</v>
      </c>
      <c r="D439" t="s">
        <v>419</v>
      </c>
      <c r="E439" t="s">
        <v>83</v>
      </c>
      <c r="F439" t="s">
        <v>49</v>
      </c>
      <c r="G439" t="s">
        <v>603</v>
      </c>
      <c r="H439">
        <v>2</v>
      </c>
      <c r="I439">
        <v>449</v>
      </c>
      <c r="J439">
        <v>5</v>
      </c>
      <c r="K439">
        <v>44.9</v>
      </c>
      <c r="L439">
        <v>853.1</v>
      </c>
      <c r="M439">
        <v>255.17</v>
      </c>
      <c r="N439" t="s">
        <v>21</v>
      </c>
      <c r="O439" t="s">
        <v>95</v>
      </c>
      <c r="P439" t="str">
        <f t="shared" si="12"/>
        <v>Low Value</v>
      </c>
      <c r="Q439" t="str">
        <f t="shared" si="13"/>
        <v>Low</v>
      </c>
      <c r="R439" t="str" cm="1">
        <f t="array" ref="R439">_xlfn.IFS(L439&gt;50000,"Premium",L439&gt;20000,"High",L439&gt;5000,"Medium",TRUE,"Low")</f>
        <v>Low</v>
      </c>
    </row>
    <row r="440" spans="1:18" x14ac:dyDescent="0.3">
      <c r="A440" t="s">
        <v>1075</v>
      </c>
      <c r="B440" s="1">
        <v>45062</v>
      </c>
      <c r="C440" t="s">
        <v>173</v>
      </c>
      <c r="D440" t="s">
        <v>133</v>
      </c>
      <c r="E440" t="s">
        <v>26</v>
      </c>
      <c r="F440" t="s">
        <v>69</v>
      </c>
      <c r="G440" t="s">
        <v>70</v>
      </c>
      <c r="H440">
        <v>3</v>
      </c>
      <c r="I440">
        <v>2499</v>
      </c>
      <c r="J440">
        <v>15</v>
      </c>
      <c r="K440">
        <v>1124.55</v>
      </c>
      <c r="L440">
        <v>6372.45</v>
      </c>
      <c r="M440">
        <v>1459.04</v>
      </c>
      <c r="N440" t="s">
        <v>27</v>
      </c>
      <c r="O440" t="s">
        <v>35</v>
      </c>
      <c r="P440" t="str">
        <f t="shared" si="12"/>
        <v>Low Value</v>
      </c>
      <c r="Q440" t="str">
        <f t="shared" si="13"/>
        <v>Medium</v>
      </c>
      <c r="R440" t="str" cm="1">
        <f t="array" ref="R440">_xlfn.IFS(L440&gt;50000,"Premium",L440&gt;20000,"High",L440&gt;5000,"Medium",TRUE,"Low")</f>
        <v>Medium</v>
      </c>
    </row>
    <row r="441" spans="1:18" x14ac:dyDescent="0.3">
      <c r="A441" t="s">
        <v>1076</v>
      </c>
      <c r="B441" s="1">
        <v>44935</v>
      </c>
      <c r="C441" t="s">
        <v>329</v>
      </c>
      <c r="D441" t="s">
        <v>1077</v>
      </c>
      <c r="E441" t="s">
        <v>83</v>
      </c>
      <c r="F441" t="s">
        <v>69</v>
      </c>
      <c r="G441" t="s">
        <v>243</v>
      </c>
      <c r="H441">
        <v>5</v>
      </c>
      <c r="I441">
        <v>1999</v>
      </c>
      <c r="J441">
        <v>25</v>
      </c>
      <c r="K441">
        <v>2498.75</v>
      </c>
      <c r="L441">
        <v>7496.25</v>
      </c>
      <c r="M441">
        <v>1318.88</v>
      </c>
      <c r="N441" t="s">
        <v>41</v>
      </c>
      <c r="O441" t="s">
        <v>95</v>
      </c>
      <c r="P441" t="str">
        <f t="shared" si="12"/>
        <v>Low Value</v>
      </c>
      <c r="Q441" t="str">
        <f t="shared" si="13"/>
        <v>Medium</v>
      </c>
      <c r="R441" t="str" cm="1">
        <f t="array" ref="R441">_xlfn.IFS(L441&gt;50000,"Premium",L441&gt;20000,"High",L441&gt;5000,"Medium",TRUE,"Low")</f>
        <v>Medium</v>
      </c>
    </row>
    <row r="442" spans="1:18" x14ac:dyDescent="0.3">
      <c r="A442" t="s">
        <v>1078</v>
      </c>
      <c r="B442" s="1">
        <v>45234</v>
      </c>
      <c r="C442" t="s">
        <v>407</v>
      </c>
      <c r="D442" t="s">
        <v>489</v>
      </c>
      <c r="E442" t="s">
        <v>59</v>
      </c>
      <c r="F442" t="s">
        <v>19</v>
      </c>
      <c r="G442" t="s">
        <v>107</v>
      </c>
      <c r="H442">
        <v>5</v>
      </c>
      <c r="I442">
        <v>4500</v>
      </c>
      <c r="J442">
        <v>20</v>
      </c>
      <c r="K442">
        <v>4500</v>
      </c>
      <c r="L442">
        <v>18000</v>
      </c>
      <c r="M442">
        <v>4962.87</v>
      </c>
      <c r="N442" t="s">
        <v>41</v>
      </c>
      <c r="O442" t="s">
        <v>95</v>
      </c>
      <c r="P442" t="str">
        <f t="shared" si="12"/>
        <v>Low Value</v>
      </c>
      <c r="Q442" t="str">
        <f t="shared" si="13"/>
        <v>Medium</v>
      </c>
      <c r="R442" t="str" cm="1">
        <f t="array" ref="R442">_xlfn.IFS(L442&gt;50000,"Premium",L442&gt;20000,"High",L442&gt;5000,"Medium",TRUE,"Low")</f>
        <v>Medium</v>
      </c>
    </row>
    <row r="443" spans="1:18" x14ac:dyDescent="0.3">
      <c r="A443" t="s">
        <v>1079</v>
      </c>
      <c r="B443" s="1">
        <v>45142</v>
      </c>
      <c r="C443" t="s">
        <v>1080</v>
      </c>
      <c r="D443" t="s">
        <v>64</v>
      </c>
      <c r="E443" t="s">
        <v>48</v>
      </c>
      <c r="F443" t="s">
        <v>32</v>
      </c>
      <c r="G443" t="s">
        <v>33</v>
      </c>
      <c r="H443">
        <v>1</v>
      </c>
      <c r="I443">
        <v>400</v>
      </c>
      <c r="J443">
        <v>25</v>
      </c>
      <c r="K443">
        <v>100</v>
      </c>
      <c r="L443">
        <v>300</v>
      </c>
      <c r="M443">
        <v>62.68</v>
      </c>
      <c r="N443" t="s">
        <v>21</v>
      </c>
      <c r="O443" t="s">
        <v>95</v>
      </c>
      <c r="P443" t="str">
        <f t="shared" si="12"/>
        <v>Low Value</v>
      </c>
      <c r="Q443" t="str">
        <f t="shared" si="13"/>
        <v>Low</v>
      </c>
      <c r="R443" t="str" cm="1">
        <f t="array" ref="R443">_xlfn.IFS(L443&gt;50000,"Premium",L443&gt;20000,"High",L443&gt;5000,"Medium",TRUE,"Low")</f>
        <v>Low</v>
      </c>
    </row>
    <row r="444" spans="1:18" x14ac:dyDescent="0.3">
      <c r="A444" t="s">
        <v>1081</v>
      </c>
      <c r="B444" s="1">
        <v>44977</v>
      </c>
      <c r="C444" t="s">
        <v>1082</v>
      </c>
      <c r="D444" t="s">
        <v>915</v>
      </c>
      <c r="E444" t="s">
        <v>26</v>
      </c>
      <c r="F444" t="s">
        <v>39</v>
      </c>
      <c r="G444" t="s">
        <v>84</v>
      </c>
      <c r="H444">
        <v>3</v>
      </c>
      <c r="I444">
        <v>6500</v>
      </c>
      <c r="J444">
        <v>15</v>
      </c>
      <c r="K444">
        <v>2925</v>
      </c>
      <c r="L444">
        <v>16575</v>
      </c>
      <c r="M444">
        <v>4636.9799999999996</v>
      </c>
      <c r="N444" t="s">
        <v>34</v>
      </c>
      <c r="O444" t="s">
        <v>35</v>
      </c>
      <c r="P444" t="str">
        <f t="shared" si="12"/>
        <v>Low Value</v>
      </c>
      <c r="Q444" t="str">
        <f t="shared" si="13"/>
        <v>Medium</v>
      </c>
      <c r="R444" t="str" cm="1">
        <f t="array" ref="R444">_xlfn.IFS(L444&gt;50000,"Premium",L444&gt;20000,"High",L444&gt;5000,"Medium",TRUE,"Low")</f>
        <v>Medium</v>
      </c>
    </row>
    <row r="445" spans="1:18" x14ac:dyDescent="0.3">
      <c r="A445" t="s">
        <v>1083</v>
      </c>
      <c r="B445" s="1">
        <v>44929</v>
      </c>
      <c r="C445" t="s">
        <v>1084</v>
      </c>
      <c r="D445" t="s">
        <v>1085</v>
      </c>
      <c r="E445" t="s">
        <v>31</v>
      </c>
      <c r="F445" t="s">
        <v>60</v>
      </c>
      <c r="G445" t="s">
        <v>115</v>
      </c>
      <c r="H445">
        <v>1</v>
      </c>
      <c r="I445">
        <v>1800</v>
      </c>
      <c r="J445">
        <v>20</v>
      </c>
      <c r="K445">
        <v>360</v>
      </c>
      <c r="L445">
        <v>1440</v>
      </c>
      <c r="M445">
        <v>297.74</v>
      </c>
      <c r="N445" t="s">
        <v>34</v>
      </c>
      <c r="O445" t="s">
        <v>22</v>
      </c>
      <c r="P445" t="str">
        <f t="shared" si="12"/>
        <v>Low Value</v>
      </c>
      <c r="Q445" t="str">
        <f t="shared" si="13"/>
        <v>Low</v>
      </c>
      <c r="R445" t="str" cm="1">
        <f t="array" ref="R445">_xlfn.IFS(L445&gt;50000,"Premium",L445&gt;20000,"High",L445&gt;5000,"Medium",TRUE,"Low")</f>
        <v>Low</v>
      </c>
    </row>
    <row r="446" spans="1:18" x14ac:dyDescent="0.3">
      <c r="A446" t="s">
        <v>1086</v>
      </c>
      <c r="B446" s="1">
        <v>45112</v>
      </c>
      <c r="C446" t="s">
        <v>614</v>
      </c>
      <c r="D446" t="s">
        <v>249</v>
      </c>
      <c r="E446" t="s">
        <v>48</v>
      </c>
      <c r="F446" t="s">
        <v>19</v>
      </c>
      <c r="G446" t="s">
        <v>65</v>
      </c>
      <c r="H446">
        <v>4</v>
      </c>
      <c r="I446">
        <v>55000</v>
      </c>
      <c r="J446">
        <v>25</v>
      </c>
      <c r="K446">
        <v>55000</v>
      </c>
      <c r="L446">
        <v>165000</v>
      </c>
      <c r="M446">
        <v>37225.82</v>
      </c>
      <c r="N446" t="s">
        <v>21</v>
      </c>
      <c r="O446" t="s">
        <v>35</v>
      </c>
      <c r="P446" t="str">
        <f t="shared" si="12"/>
        <v>High Value</v>
      </c>
      <c r="Q446" t="str">
        <f t="shared" si="13"/>
        <v>Premium</v>
      </c>
      <c r="R446" t="str" cm="1">
        <f t="array" ref="R446">_xlfn.IFS(L446&gt;50000,"Premium",L446&gt;20000,"High",L446&gt;5000,"Medium",TRUE,"Low")</f>
        <v>Premium</v>
      </c>
    </row>
    <row r="447" spans="1:18" x14ac:dyDescent="0.3">
      <c r="A447" t="s">
        <v>1087</v>
      </c>
      <c r="B447" s="1">
        <v>45275</v>
      </c>
      <c r="C447" t="s">
        <v>1088</v>
      </c>
      <c r="D447" t="s">
        <v>669</v>
      </c>
      <c r="E447" t="s">
        <v>48</v>
      </c>
      <c r="F447" t="s">
        <v>39</v>
      </c>
      <c r="G447" t="s">
        <v>209</v>
      </c>
      <c r="H447">
        <v>2</v>
      </c>
      <c r="I447">
        <v>3200</v>
      </c>
      <c r="J447">
        <v>15</v>
      </c>
      <c r="K447">
        <v>960</v>
      </c>
      <c r="L447">
        <v>5440</v>
      </c>
      <c r="M447">
        <v>1173.04</v>
      </c>
      <c r="N447" t="s">
        <v>21</v>
      </c>
      <c r="O447" t="s">
        <v>95</v>
      </c>
      <c r="P447" t="str">
        <f t="shared" si="12"/>
        <v>Low Value</v>
      </c>
      <c r="Q447" t="str">
        <f t="shared" si="13"/>
        <v>Medium</v>
      </c>
      <c r="R447" t="str" cm="1">
        <f t="array" ref="R447">_xlfn.IFS(L447&gt;50000,"Premium",L447&gt;20000,"High",L447&gt;5000,"Medium",TRUE,"Low")</f>
        <v>Medium</v>
      </c>
    </row>
    <row r="448" spans="1:18" x14ac:dyDescent="0.3">
      <c r="A448" t="s">
        <v>1089</v>
      </c>
      <c r="B448" s="1">
        <v>45174</v>
      </c>
      <c r="C448" t="s">
        <v>343</v>
      </c>
      <c r="D448" t="s">
        <v>949</v>
      </c>
      <c r="E448" t="s">
        <v>31</v>
      </c>
      <c r="F448" t="s">
        <v>32</v>
      </c>
      <c r="G448" t="s">
        <v>309</v>
      </c>
      <c r="H448">
        <v>5</v>
      </c>
      <c r="I448">
        <v>180</v>
      </c>
      <c r="J448">
        <v>10</v>
      </c>
      <c r="K448">
        <v>90</v>
      </c>
      <c r="L448">
        <v>810</v>
      </c>
      <c r="M448">
        <v>228.63</v>
      </c>
      <c r="N448" t="s">
        <v>41</v>
      </c>
      <c r="O448" t="s">
        <v>35</v>
      </c>
      <c r="P448" t="str">
        <f t="shared" si="12"/>
        <v>Low Value</v>
      </c>
      <c r="Q448" t="str">
        <f t="shared" si="13"/>
        <v>Low</v>
      </c>
      <c r="R448" t="str" cm="1">
        <f t="array" ref="R448">_xlfn.IFS(L448&gt;50000,"Premium",L448&gt;20000,"High",L448&gt;5000,"Medium",TRUE,"Low")</f>
        <v>Low</v>
      </c>
    </row>
    <row r="449" spans="1:18" x14ac:dyDescent="0.3">
      <c r="A449" t="s">
        <v>1090</v>
      </c>
      <c r="B449" s="1">
        <v>44978</v>
      </c>
      <c r="C449" t="s">
        <v>852</v>
      </c>
      <c r="D449" t="s">
        <v>974</v>
      </c>
      <c r="E449" t="s">
        <v>26</v>
      </c>
      <c r="F449" t="s">
        <v>69</v>
      </c>
      <c r="G449" t="s">
        <v>243</v>
      </c>
      <c r="H449">
        <v>4</v>
      </c>
      <c r="I449">
        <v>1999</v>
      </c>
      <c r="J449">
        <v>10</v>
      </c>
      <c r="K449">
        <v>799.6</v>
      </c>
      <c r="L449">
        <v>7196.4</v>
      </c>
      <c r="M449">
        <v>2088.8000000000002</v>
      </c>
      <c r="N449" t="s">
        <v>99</v>
      </c>
      <c r="O449" t="s">
        <v>35</v>
      </c>
      <c r="P449" t="str">
        <f t="shared" si="12"/>
        <v>Low Value</v>
      </c>
      <c r="Q449" t="str">
        <f t="shared" si="13"/>
        <v>Medium</v>
      </c>
      <c r="R449" t="str" cm="1">
        <f t="array" ref="R449">_xlfn.IFS(L449&gt;50000,"Premium",L449&gt;20000,"High",L449&gt;5000,"Medium",TRUE,"Low")</f>
        <v>Medium</v>
      </c>
    </row>
    <row r="450" spans="1:18" x14ac:dyDescent="0.3">
      <c r="A450" t="s">
        <v>1091</v>
      </c>
      <c r="B450" s="1">
        <v>45001</v>
      </c>
      <c r="C450" t="s">
        <v>725</v>
      </c>
      <c r="D450" t="s">
        <v>435</v>
      </c>
      <c r="E450" t="s">
        <v>59</v>
      </c>
      <c r="F450" t="s">
        <v>39</v>
      </c>
      <c r="G450" t="s">
        <v>79</v>
      </c>
      <c r="H450">
        <v>4</v>
      </c>
      <c r="I450">
        <v>25000</v>
      </c>
      <c r="J450">
        <v>0</v>
      </c>
      <c r="K450">
        <v>0</v>
      </c>
      <c r="L450">
        <v>100000</v>
      </c>
      <c r="M450">
        <v>6922.41</v>
      </c>
      <c r="N450" t="s">
        <v>41</v>
      </c>
      <c r="O450" t="s">
        <v>22</v>
      </c>
      <c r="P450" t="str">
        <f t="shared" si="12"/>
        <v>High Value</v>
      </c>
      <c r="Q450" t="str">
        <f t="shared" si="13"/>
        <v>Premium</v>
      </c>
      <c r="R450" t="str" cm="1">
        <f t="array" ref="R450">_xlfn.IFS(L450&gt;50000,"Premium",L450&gt;20000,"High",L450&gt;5000,"Medium",TRUE,"Low")</f>
        <v>Premium</v>
      </c>
    </row>
    <row r="451" spans="1:18" x14ac:dyDescent="0.3">
      <c r="A451" t="s">
        <v>1092</v>
      </c>
      <c r="B451" s="1">
        <v>45241</v>
      </c>
      <c r="C451" t="s">
        <v>128</v>
      </c>
      <c r="D451" t="s">
        <v>1093</v>
      </c>
      <c r="E451" t="s">
        <v>54</v>
      </c>
      <c r="F451" t="s">
        <v>60</v>
      </c>
      <c r="G451" t="s">
        <v>61</v>
      </c>
      <c r="H451">
        <v>3</v>
      </c>
      <c r="I451">
        <v>850</v>
      </c>
      <c r="J451">
        <v>25</v>
      </c>
      <c r="K451">
        <v>637.5</v>
      </c>
      <c r="L451">
        <v>1912.5</v>
      </c>
      <c r="M451">
        <v>648.45000000000005</v>
      </c>
      <c r="N451" t="s">
        <v>99</v>
      </c>
      <c r="O451" t="s">
        <v>35</v>
      </c>
      <c r="P451" t="str">
        <f t="shared" ref="P451:P514" si="14">IF(L451&gt;20000,"High Value","Low Value")</f>
        <v>Low Value</v>
      </c>
      <c r="Q451" t="str">
        <f t="shared" ref="Q451:Q514" si="15">IF(L451&gt;50000,"Premium",IF(L451&gt;20000,"High",IF(L451&gt;5000,"Medium","Low")))</f>
        <v>Low</v>
      </c>
      <c r="R451" t="str" cm="1">
        <f t="array" ref="R451">_xlfn.IFS(L451&gt;50000,"Premium",L451&gt;20000,"High",L451&gt;5000,"Medium",TRUE,"Low")</f>
        <v>Low</v>
      </c>
    </row>
    <row r="452" spans="1:18" x14ac:dyDescent="0.3">
      <c r="A452" t="s">
        <v>1094</v>
      </c>
      <c r="B452" s="1">
        <v>45263</v>
      </c>
      <c r="C452" t="s">
        <v>1095</v>
      </c>
      <c r="D452" t="s">
        <v>726</v>
      </c>
      <c r="E452" t="s">
        <v>31</v>
      </c>
      <c r="F452" t="s">
        <v>49</v>
      </c>
      <c r="G452" t="s">
        <v>331</v>
      </c>
      <c r="H452">
        <v>3</v>
      </c>
      <c r="I452">
        <v>699</v>
      </c>
      <c r="J452">
        <v>5</v>
      </c>
      <c r="K452">
        <v>104.85</v>
      </c>
      <c r="L452">
        <v>1992.15</v>
      </c>
      <c r="M452">
        <v>119.69</v>
      </c>
      <c r="N452" t="s">
        <v>21</v>
      </c>
      <c r="O452" t="s">
        <v>35</v>
      </c>
      <c r="P452" t="str">
        <f t="shared" si="14"/>
        <v>Low Value</v>
      </c>
      <c r="Q452" t="str">
        <f t="shared" si="15"/>
        <v>Low</v>
      </c>
      <c r="R452" t="str" cm="1">
        <f t="array" ref="R452">_xlfn.IFS(L452&gt;50000,"Premium",L452&gt;20000,"High",L452&gt;5000,"Medium",TRUE,"Low")</f>
        <v>Low</v>
      </c>
    </row>
    <row r="453" spans="1:18" x14ac:dyDescent="0.3">
      <c r="A453" t="s">
        <v>1096</v>
      </c>
      <c r="B453" s="1">
        <v>45272</v>
      </c>
      <c r="C453" t="s">
        <v>356</v>
      </c>
      <c r="D453" t="s">
        <v>1097</v>
      </c>
      <c r="E453" t="s">
        <v>26</v>
      </c>
      <c r="F453" t="s">
        <v>19</v>
      </c>
      <c r="G453" t="s">
        <v>103</v>
      </c>
      <c r="H453">
        <v>2</v>
      </c>
      <c r="I453">
        <v>3500</v>
      </c>
      <c r="J453">
        <v>25</v>
      </c>
      <c r="K453">
        <v>1750</v>
      </c>
      <c r="L453">
        <v>5250</v>
      </c>
      <c r="M453">
        <v>262.95</v>
      </c>
      <c r="N453" t="s">
        <v>34</v>
      </c>
      <c r="O453" t="s">
        <v>22</v>
      </c>
      <c r="P453" t="str">
        <f t="shared" si="14"/>
        <v>Low Value</v>
      </c>
      <c r="Q453" t="str">
        <f t="shared" si="15"/>
        <v>Medium</v>
      </c>
      <c r="R453" t="str" cm="1">
        <f t="array" ref="R453">_xlfn.IFS(L453&gt;50000,"Premium",L453&gt;20000,"High",L453&gt;5000,"Medium",TRUE,"Low")</f>
        <v>Medium</v>
      </c>
    </row>
    <row r="454" spans="1:18" x14ac:dyDescent="0.3">
      <c r="A454" t="s">
        <v>1098</v>
      </c>
      <c r="B454" s="1">
        <v>45134</v>
      </c>
      <c r="C454" t="s">
        <v>173</v>
      </c>
      <c r="D454" t="s">
        <v>1099</v>
      </c>
      <c r="E454" t="s">
        <v>78</v>
      </c>
      <c r="F454" t="s">
        <v>74</v>
      </c>
      <c r="G454" t="s">
        <v>381</v>
      </c>
      <c r="H454">
        <v>5</v>
      </c>
      <c r="I454">
        <v>800</v>
      </c>
      <c r="J454">
        <v>0</v>
      </c>
      <c r="K454">
        <v>0</v>
      </c>
      <c r="L454">
        <v>4000</v>
      </c>
      <c r="M454">
        <v>1084.31</v>
      </c>
      <c r="N454" t="s">
        <v>21</v>
      </c>
      <c r="O454" t="s">
        <v>95</v>
      </c>
      <c r="P454" t="str">
        <f t="shared" si="14"/>
        <v>Low Value</v>
      </c>
      <c r="Q454" t="str">
        <f t="shared" si="15"/>
        <v>Low</v>
      </c>
      <c r="R454" t="str" cm="1">
        <f t="array" ref="R454">_xlfn.IFS(L454&gt;50000,"Premium",L454&gt;20000,"High",L454&gt;5000,"Medium",TRUE,"Low")</f>
        <v>Low</v>
      </c>
    </row>
    <row r="455" spans="1:18" x14ac:dyDescent="0.3">
      <c r="A455" t="s">
        <v>1100</v>
      </c>
      <c r="B455" s="1">
        <v>45105</v>
      </c>
      <c r="C455" t="s">
        <v>1101</v>
      </c>
      <c r="D455" t="s">
        <v>512</v>
      </c>
      <c r="E455" t="s">
        <v>59</v>
      </c>
      <c r="F455" t="s">
        <v>32</v>
      </c>
      <c r="G455" t="s">
        <v>33</v>
      </c>
      <c r="H455">
        <v>3</v>
      </c>
      <c r="I455">
        <v>400</v>
      </c>
      <c r="J455">
        <v>5</v>
      </c>
      <c r="K455">
        <v>60</v>
      </c>
      <c r="L455">
        <v>1140</v>
      </c>
      <c r="M455">
        <v>264.38</v>
      </c>
      <c r="N455" t="s">
        <v>34</v>
      </c>
      <c r="O455" t="s">
        <v>35</v>
      </c>
      <c r="P455" t="str">
        <f t="shared" si="14"/>
        <v>Low Value</v>
      </c>
      <c r="Q455" t="str">
        <f t="shared" si="15"/>
        <v>Low</v>
      </c>
      <c r="R455" t="str" cm="1">
        <f t="array" ref="R455">_xlfn.IFS(L455&gt;50000,"Premium",L455&gt;20000,"High",L455&gt;5000,"Medium",TRUE,"Low")</f>
        <v>Low</v>
      </c>
    </row>
    <row r="456" spans="1:18" x14ac:dyDescent="0.3">
      <c r="A456" t="s">
        <v>1102</v>
      </c>
      <c r="B456" s="1">
        <v>45135</v>
      </c>
      <c r="C456" t="s">
        <v>29</v>
      </c>
      <c r="D456" t="s">
        <v>855</v>
      </c>
      <c r="E456" t="s">
        <v>78</v>
      </c>
      <c r="F456" t="s">
        <v>74</v>
      </c>
      <c r="G456" t="s">
        <v>137</v>
      </c>
      <c r="H456">
        <v>5</v>
      </c>
      <c r="I456">
        <v>2500</v>
      </c>
      <c r="J456">
        <v>0</v>
      </c>
      <c r="K456">
        <v>0</v>
      </c>
      <c r="L456">
        <v>12500</v>
      </c>
      <c r="M456">
        <v>2511.88</v>
      </c>
      <c r="N456" t="s">
        <v>21</v>
      </c>
      <c r="O456" t="s">
        <v>95</v>
      </c>
      <c r="P456" t="str">
        <f t="shared" si="14"/>
        <v>Low Value</v>
      </c>
      <c r="Q456" t="str">
        <f t="shared" si="15"/>
        <v>Medium</v>
      </c>
      <c r="R456" t="str" cm="1">
        <f t="array" ref="R456">_xlfn.IFS(L456&gt;50000,"Premium",L456&gt;20000,"High",L456&gt;5000,"Medium",TRUE,"Low")</f>
        <v>Medium</v>
      </c>
    </row>
    <row r="457" spans="1:18" x14ac:dyDescent="0.3">
      <c r="A457" t="s">
        <v>1103</v>
      </c>
      <c r="B457" s="1">
        <v>45055</v>
      </c>
      <c r="C457" t="s">
        <v>1104</v>
      </c>
      <c r="D457" t="s">
        <v>710</v>
      </c>
      <c r="E457" t="s">
        <v>54</v>
      </c>
      <c r="F457" t="s">
        <v>60</v>
      </c>
      <c r="G457" t="s">
        <v>365</v>
      </c>
      <c r="H457">
        <v>4</v>
      </c>
      <c r="I457">
        <v>650</v>
      </c>
      <c r="J457">
        <v>20</v>
      </c>
      <c r="K457">
        <v>520</v>
      </c>
      <c r="L457">
        <v>2080</v>
      </c>
      <c r="M457">
        <v>405.79</v>
      </c>
      <c r="N457" t="s">
        <v>21</v>
      </c>
      <c r="O457" t="s">
        <v>35</v>
      </c>
      <c r="P457" t="str">
        <f t="shared" si="14"/>
        <v>Low Value</v>
      </c>
      <c r="Q457" t="str">
        <f t="shared" si="15"/>
        <v>Low</v>
      </c>
      <c r="R457" t="str" cm="1">
        <f t="array" ref="R457">_xlfn.IFS(L457&gt;50000,"Premium",L457&gt;20000,"High",L457&gt;5000,"Medium",TRUE,"Low")</f>
        <v>Low</v>
      </c>
    </row>
    <row r="458" spans="1:18" x14ac:dyDescent="0.3">
      <c r="A458" t="s">
        <v>1105</v>
      </c>
      <c r="B458" s="1">
        <v>45173</v>
      </c>
      <c r="C458" t="s">
        <v>200</v>
      </c>
      <c r="D458" t="s">
        <v>1106</v>
      </c>
      <c r="E458" t="s">
        <v>26</v>
      </c>
      <c r="F458" t="s">
        <v>19</v>
      </c>
      <c r="G458" t="s">
        <v>103</v>
      </c>
      <c r="H458">
        <v>1</v>
      </c>
      <c r="I458">
        <v>3500</v>
      </c>
      <c r="J458">
        <v>15</v>
      </c>
      <c r="K458">
        <v>525</v>
      </c>
      <c r="L458">
        <v>2975</v>
      </c>
      <c r="M458">
        <v>714.29</v>
      </c>
      <c r="N458" t="s">
        <v>34</v>
      </c>
      <c r="O458" t="s">
        <v>95</v>
      </c>
      <c r="P458" t="str">
        <f t="shared" si="14"/>
        <v>Low Value</v>
      </c>
      <c r="Q458" t="str">
        <f t="shared" si="15"/>
        <v>Low</v>
      </c>
      <c r="R458" t="str" cm="1">
        <f t="array" ref="R458">_xlfn.IFS(L458&gt;50000,"Premium",L458&gt;20000,"High",L458&gt;5000,"Medium",TRUE,"Low")</f>
        <v>Low</v>
      </c>
    </row>
    <row r="459" spans="1:18" x14ac:dyDescent="0.3">
      <c r="A459" t="s">
        <v>1107</v>
      </c>
      <c r="B459" s="1">
        <v>45201</v>
      </c>
      <c r="C459" t="s">
        <v>1108</v>
      </c>
      <c r="D459" t="s">
        <v>863</v>
      </c>
      <c r="E459" t="s">
        <v>83</v>
      </c>
      <c r="F459" t="s">
        <v>19</v>
      </c>
      <c r="G459" t="s">
        <v>236</v>
      </c>
      <c r="H459">
        <v>3</v>
      </c>
      <c r="I459">
        <v>800</v>
      </c>
      <c r="J459">
        <v>5</v>
      </c>
      <c r="K459">
        <v>120</v>
      </c>
      <c r="L459">
        <v>2280</v>
      </c>
      <c r="M459">
        <v>310.51</v>
      </c>
      <c r="N459" t="s">
        <v>41</v>
      </c>
      <c r="O459" t="s">
        <v>35</v>
      </c>
      <c r="P459" t="str">
        <f t="shared" si="14"/>
        <v>Low Value</v>
      </c>
      <c r="Q459" t="str">
        <f t="shared" si="15"/>
        <v>Low</v>
      </c>
      <c r="R459" t="str" cm="1">
        <f t="array" ref="R459">_xlfn.IFS(L459&gt;50000,"Premium",L459&gt;20000,"High",L459&gt;5000,"Medium",TRUE,"Low")</f>
        <v>Low</v>
      </c>
    </row>
    <row r="460" spans="1:18" x14ac:dyDescent="0.3">
      <c r="A460" t="s">
        <v>1109</v>
      </c>
      <c r="B460" s="1">
        <v>45108</v>
      </c>
      <c r="C460" t="s">
        <v>839</v>
      </c>
      <c r="D460" t="s">
        <v>1110</v>
      </c>
      <c r="E460" t="s">
        <v>31</v>
      </c>
      <c r="F460" t="s">
        <v>69</v>
      </c>
      <c r="G460" t="s">
        <v>243</v>
      </c>
      <c r="H460">
        <v>3</v>
      </c>
      <c r="I460">
        <v>1999</v>
      </c>
      <c r="J460">
        <v>5</v>
      </c>
      <c r="K460">
        <v>299.85000000000002</v>
      </c>
      <c r="L460">
        <v>5697.15</v>
      </c>
      <c r="M460">
        <v>1903.62</v>
      </c>
      <c r="N460" t="s">
        <v>27</v>
      </c>
      <c r="O460" t="s">
        <v>35</v>
      </c>
      <c r="P460" t="str">
        <f t="shared" si="14"/>
        <v>Low Value</v>
      </c>
      <c r="Q460" t="str">
        <f t="shared" si="15"/>
        <v>Medium</v>
      </c>
      <c r="R460" t="str" cm="1">
        <f t="array" ref="R460">_xlfn.IFS(L460&gt;50000,"Premium",L460&gt;20000,"High",L460&gt;5000,"Medium",TRUE,"Low")</f>
        <v>Medium</v>
      </c>
    </row>
    <row r="461" spans="1:18" x14ac:dyDescent="0.3">
      <c r="A461" t="s">
        <v>1111</v>
      </c>
      <c r="B461" s="1">
        <v>45062</v>
      </c>
      <c r="C461" t="s">
        <v>500</v>
      </c>
      <c r="D461" t="s">
        <v>949</v>
      </c>
      <c r="E461" t="s">
        <v>18</v>
      </c>
      <c r="F461" t="s">
        <v>69</v>
      </c>
      <c r="G461" t="s">
        <v>202</v>
      </c>
      <c r="H461">
        <v>2</v>
      </c>
      <c r="I461">
        <v>1299</v>
      </c>
      <c r="J461">
        <v>5</v>
      </c>
      <c r="K461">
        <v>129.9</v>
      </c>
      <c r="L461">
        <v>2468.1</v>
      </c>
      <c r="M461">
        <v>742.65</v>
      </c>
      <c r="N461" t="s">
        <v>99</v>
      </c>
      <c r="O461" t="s">
        <v>22</v>
      </c>
      <c r="P461" t="str">
        <f t="shared" si="14"/>
        <v>Low Value</v>
      </c>
      <c r="Q461" t="str">
        <f t="shared" si="15"/>
        <v>Low</v>
      </c>
      <c r="R461" t="str" cm="1">
        <f t="array" ref="R461">_xlfn.IFS(L461&gt;50000,"Premium",L461&gt;20000,"High",L461&gt;5000,"Medium",TRUE,"Low")</f>
        <v>Low</v>
      </c>
    </row>
    <row r="462" spans="1:18" x14ac:dyDescent="0.3">
      <c r="A462" t="s">
        <v>1112</v>
      </c>
      <c r="B462" s="1">
        <v>45241</v>
      </c>
      <c r="C462" t="s">
        <v>911</v>
      </c>
      <c r="D462" t="s">
        <v>1113</v>
      </c>
      <c r="E462" t="s">
        <v>54</v>
      </c>
      <c r="F462" t="s">
        <v>19</v>
      </c>
      <c r="G462" t="s">
        <v>107</v>
      </c>
      <c r="H462">
        <v>5</v>
      </c>
      <c r="I462">
        <v>4500</v>
      </c>
      <c r="J462">
        <v>0</v>
      </c>
      <c r="K462">
        <v>0</v>
      </c>
      <c r="L462">
        <v>22500</v>
      </c>
      <c r="M462">
        <v>6849.07</v>
      </c>
      <c r="N462" t="s">
        <v>21</v>
      </c>
      <c r="O462" t="s">
        <v>35</v>
      </c>
      <c r="P462" t="str">
        <f t="shared" si="14"/>
        <v>High Value</v>
      </c>
      <c r="Q462" t="str">
        <f t="shared" si="15"/>
        <v>High</v>
      </c>
      <c r="R462" t="str" cm="1">
        <f t="array" ref="R462">_xlfn.IFS(L462&gt;50000,"Premium",L462&gt;20000,"High",L462&gt;5000,"Medium",TRUE,"Low")</f>
        <v>High</v>
      </c>
    </row>
    <row r="463" spans="1:18" x14ac:dyDescent="0.3">
      <c r="A463" t="s">
        <v>1114</v>
      </c>
      <c r="B463" s="1">
        <v>45178</v>
      </c>
      <c r="C463" t="s">
        <v>1115</v>
      </c>
      <c r="D463" t="s">
        <v>1069</v>
      </c>
      <c r="E463" t="s">
        <v>59</v>
      </c>
      <c r="F463" t="s">
        <v>69</v>
      </c>
      <c r="G463" t="s">
        <v>111</v>
      </c>
      <c r="H463">
        <v>5</v>
      </c>
      <c r="I463">
        <v>3499</v>
      </c>
      <c r="J463">
        <v>10</v>
      </c>
      <c r="K463">
        <v>1749.5</v>
      </c>
      <c r="L463">
        <v>15745.5</v>
      </c>
      <c r="M463">
        <v>2666.72</v>
      </c>
      <c r="N463" t="s">
        <v>21</v>
      </c>
      <c r="O463" t="s">
        <v>22</v>
      </c>
      <c r="P463" t="str">
        <f t="shared" si="14"/>
        <v>Low Value</v>
      </c>
      <c r="Q463" t="str">
        <f t="shared" si="15"/>
        <v>Medium</v>
      </c>
      <c r="R463" t="str" cm="1">
        <f t="array" ref="R463">_xlfn.IFS(L463&gt;50000,"Premium",L463&gt;20000,"High",L463&gt;5000,"Medium",TRUE,"Low")</f>
        <v>Medium</v>
      </c>
    </row>
    <row r="464" spans="1:18" x14ac:dyDescent="0.3">
      <c r="A464" t="s">
        <v>1116</v>
      </c>
      <c r="B464" s="1">
        <v>45171</v>
      </c>
      <c r="C464" t="s">
        <v>868</v>
      </c>
      <c r="D464" t="s">
        <v>504</v>
      </c>
      <c r="E464" t="s">
        <v>18</v>
      </c>
      <c r="F464" t="s">
        <v>74</v>
      </c>
      <c r="G464" t="s">
        <v>137</v>
      </c>
      <c r="H464">
        <v>5</v>
      </c>
      <c r="I464">
        <v>2500</v>
      </c>
      <c r="J464">
        <v>10</v>
      </c>
      <c r="K464">
        <v>1250</v>
      </c>
      <c r="L464">
        <v>11250</v>
      </c>
      <c r="M464">
        <v>1891.29</v>
      </c>
      <c r="N464" t="s">
        <v>21</v>
      </c>
      <c r="O464" t="s">
        <v>22</v>
      </c>
      <c r="P464" t="str">
        <f t="shared" si="14"/>
        <v>Low Value</v>
      </c>
      <c r="Q464" t="str">
        <f t="shared" si="15"/>
        <v>Medium</v>
      </c>
      <c r="R464" t="str" cm="1">
        <f t="array" ref="R464">_xlfn.IFS(L464&gt;50000,"Premium",L464&gt;20000,"High",L464&gt;5000,"Medium",TRUE,"Low")</f>
        <v>Medium</v>
      </c>
    </row>
    <row r="465" spans="1:18" x14ac:dyDescent="0.3">
      <c r="A465" t="s">
        <v>1117</v>
      </c>
      <c r="B465" s="1">
        <v>45088</v>
      </c>
      <c r="C465" t="s">
        <v>1035</v>
      </c>
      <c r="D465" t="s">
        <v>1118</v>
      </c>
      <c r="E465" t="s">
        <v>48</v>
      </c>
      <c r="F465" t="s">
        <v>60</v>
      </c>
      <c r="G465" t="s">
        <v>291</v>
      </c>
      <c r="H465">
        <v>1</v>
      </c>
      <c r="I465">
        <v>450</v>
      </c>
      <c r="J465">
        <v>25</v>
      </c>
      <c r="K465">
        <v>112.5</v>
      </c>
      <c r="L465">
        <v>337.5</v>
      </c>
      <c r="M465">
        <v>38.21</v>
      </c>
      <c r="N465" t="s">
        <v>21</v>
      </c>
      <c r="O465" t="s">
        <v>35</v>
      </c>
      <c r="P465" t="str">
        <f t="shared" si="14"/>
        <v>Low Value</v>
      </c>
      <c r="Q465" t="str">
        <f t="shared" si="15"/>
        <v>Low</v>
      </c>
      <c r="R465" t="str" cm="1">
        <f t="array" ref="R465">_xlfn.IFS(L465&gt;50000,"Premium",L465&gt;20000,"High",L465&gt;5000,"Medium",TRUE,"Low")</f>
        <v>Low</v>
      </c>
    </row>
    <row r="466" spans="1:18" x14ac:dyDescent="0.3">
      <c r="A466" t="s">
        <v>1119</v>
      </c>
      <c r="B466" s="1">
        <v>45022</v>
      </c>
      <c r="C466" t="s">
        <v>146</v>
      </c>
      <c r="D466" t="s">
        <v>1120</v>
      </c>
      <c r="E466" t="s">
        <v>83</v>
      </c>
      <c r="F466" t="s">
        <v>74</v>
      </c>
      <c r="G466" t="s">
        <v>341</v>
      </c>
      <c r="H466">
        <v>2</v>
      </c>
      <c r="I466">
        <v>700</v>
      </c>
      <c r="J466">
        <v>10</v>
      </c>
      <c r="K466">
        <v>140</v>
      </c>
      <c r="L466">
        <v>1260</v>
      </c>
      <c r="M466">
        <v>241.17</v>
      </c>
      <c r="N466" t="s">
        <v>41</v>
      </c>
      <c r="O466" t="s">
        <v>22</v>
      </c>
      <c r="P466" t="str">
        <f t="shared" si="14"/>
        <v>Low Value</v>
      </c>
      <c r="Q466" t="str">
        <f t="shared" si="15"/>
        <v>Low</v>
      </c>
      <c r="R466" t="str" cm="1">
        <f t="array" ref="R466">_xlfn.IFS(L466&gt;50000,"Premium",L466&gt;20000,"High",L466&gt;5000,"Medium",TRUE,"Low")</f>
        <v>Low</v>
      </c>
    </row>
    <row r="467" spans="1:18" x14ac:dyDescent="0.3">
      <c r="A467" t="s">
        <v>1121</v>
      </c>
      <c r="B467" s="1">
        <v>45034</v>
      </c>
      <c r="C467" t="s">
        <v>1122</v>
      </c>
      <c r="D467" t="s">
        <v>1009</v>
      </c>
      <c r="E467" t="s">
        <v>83</v>
      </c>
      <c r="F467" t="s">
        <v>39</v>
      </c>
      <c r="G467" t="s">
        <v>213</v>
      </c>
      <c r="H467">
        <v>3</v>
      </c>
      <c r="I467">
        <v>15000</v>
      </c>
      <c r="J467">
        <v>10</v>
      </c>
      <c r="K467">
        <v>4500</v>
      </c>
      <c r="L467">
        <v>40500</v>
      </c>
      <c r="M467">
        <v>12405.06</v>
      </c>
      <c r="N467" t="s">
        <v>21</v>
      </c>
      <c r="O467" t="s">
        <v>35</v>
      </c>
      <c r="P467" t="str">
        <f t="shared" si="14"/>
        <v>High Value</v>
      </c>
      <c r="Q467" t="str">
        <f t="shared" si="15"/>
        <v>High</v>
      </c>
      <c r="R467" t="str" cm="1">
        <f t="array" ref="R467">_xlfn.IFS(L467&gt;50000,"Premium",L467&gt;20000,"High",L467&gt;5000,"Medium",TRUE,"Low")</f>
        <v>High</v>
      </c>
    </row>
    <row r="468" spans="1:18" x14ac:dyDescent="0.3">
      <c r="A468" t="s">
        <v>1123</v>
      </c>
      <c r="B468" s="1">
        <v>44978</v>
      </c>
      <c r="C468" t="s">
        <v>336</v>
      </c>
      <c r="D468" t="s">
        <v>853</v>
      </c>
      <c r="E468" t="s">
        <v>83</v>
      </c>
      <c r="F468" t="s">
        <v>60</v>
      </c>
      <c r="G468" t="s">
        <v>141</v>
      </c>
      <c r="H468">
        <v>2</v>
      </c>
      <c r="I468">
        <v>350</v>
      </c>
      <c r="J468">
        <v>20</v>
      </c>
      <c r="K468">
        <v>140</v>
      </c>
      <c r="L468">
        <v>560</v>
      </c>
      <c r="M468">
        <v>100.61</v>
      </c>
      <c r="N468" t="s">
        <v>41</v>
      </c>
      <c r="O468" t="s">
        <v>35</v>
      </c>
      <c r="P468" t="str">
        <f t="shared" si="14"/>
        <v>Low Value</v>
      </c>
      <c r="Q468" t="str">
        <f t="shared" si="15"/>
        <v>Low</v>
      </c>
      <c r="R468" t="str" cm="1">
        <f t="array" ref="R468">_xlfn.IFS(L468&gt;50000,"Premium",L468&gt;20000,"High",L468&gt;5000,"Medium",TRUE,"Low")</f>
        <v>Low</v>
      </c>
    </row>
    <row r="469" spans="1:18" x14ac:dyDescent="0.3">
      <c r="A469" t="s">
        <v>1124</v>
      </c>
      <c r="B469" s="1">
        <v>45017</v>
      </c>
      <c r="C469" t="s">
        <v>817</v>
      </c>
      <c r="D469" t="s">
        <v>569</v>
      </c>
      <c r="E469" t="s">
        <v>78</v>
      </c>
      <c r="F469" t="s">
        <v>39</v>
      </c>
      <c r="G469" t="s">
        <v>219</v>
      </c>
      <c r="H469">
        <v>2</v>
      </c>
      <c r="I469">
        <v>18000</v>
      </c>
      <c r="J469">
        <v>25</v>
      </c>
      <c r="K469">
        <v>9000</v>
      </c>
      <c r="L469">
        <v>27000</v>
      </c>
      <c r="M469">
        <v>5537.76</v>
      </c>
      <c r="N469" t="s">
        <v>34</v>
      </c>
      <c r="O469" t="s">
        <v>95</v>
      </c>
      <c r="P469" t="str">
        <f t="shared" si="14"/>
        <v>High Value</v>
      </c>
      <c r="Q469" t="str">
        <f t="shared" si="15"/>
        <v>High</v>
      </c>
      <c r="R469" t="str" cm="1">
        <f t="array" ref="R469">_xlfn.IFS(L469&gt;50000,"Premium",L469&gt;20000,"High",L469&gt;5000,"Medium",TRUE,"Low")</f>
        <v>High</v>
      </c>
    </row>
    <row r="470" spans="1:18" x14ac:dyDescent="0.3">
      <c r="A470" t="s">
        <v>1125</v>
      </c>
      <c r="B470" s="1">
        <v>45217</v>
      </c>
      <c r="C470" t="s">
        <v>1126</v>
      </c>
      <c r="D470" t="s">
        <v>1127</v>
      </c>
      <c r="E470" t="s">
        <v>18</v>
      </c>
      <c r="F470" t="s">
        <v>19</v>
      </c>
      <c r="G470" t="s">
        <v>229</v>
      </c>
      <c r="H470">
        <v>1</v>
      </c>
      <c r="I470">
        <v>8000</v>
      </c>
      <c r="J470">
        <v>25</v>
      </c>
      <c r="K470">
        <v>2000</v>
      </c>
      <c r="L470">
        <v>6000</v>
      </c>
      <c r="M470">
        <v>594.02</v>
      </c>
      <c r="N470" t="s">
        <v>41</v>
      </c>
      <c r="O470" t="s">
        <v>35</v>
      </c>
      <c r="P470" t="str">
        <f t="shared" si="14"/>
        <v>Low Value</v>
      </c>
      <c r="Q470" t="str">
        <f t="shared" si="15"/>
        <v>Medium</v>
      </c>
      <c r="R470" t="str" cm="1">
        <f t="array" ref="R470">_xlfn.IFS(L470&gt;50000,"Premium",L470&gt;20000,"High",L470&gt;5000,"Medium",TRUE,"Low")</f>
        <v>Medium</v>
      </c>
    </row>
    <row r="471" spans="1:18" x14ac:dyDescent="0.3">
      <c r="A471" t="s">
        <v>1128</v>
      </c>
      <c r="B471" s="1">
        <v>45060</v>
      </c>
      <c r="C471" t="s">
        <v>1129</v>
      </c>
      <c r="D471" t="s">
        <v>1130</v>
      </c>
      <c r="E471" t="s">
        <v>26</v>
      </c>
      <c r="F471" t="s">
        <v>32</v>
      </c>
      <c r="G471" t="s">
        <v>309</v>
      </c>
      <c r="H471">
        <v>5</v>
      </c>
      <c r="I471">
        <v>180</v>
      </c>
      <c r="J471">
        <v>20</v>
      </c>
      <c r="K471">
        <v>180</v>
      </c>
      <c r="L471">
        <v>720</v>
      </c>
      <c r="M471">
        <v>237.28</v>
      </c>
      <c r="N471" t="s">
        <v>99</v>
      </c>
      <c r="O471" t="s">
        <v>35</v>
      </c>
      <c r="P471" t="str">
        <f t="shared" si="14"/>
        <v>Low Value</v>
      </c>
      <c r="Q471" t="str">
        <f t="shared" si="15"/>
        <v>Low</v>
      </c>
      <c r="R471" t="str" cm="1">
        <f t="array" ref="R471">_xlfn.IFS(L471&gt;50000,"Premium",L471&gt;20000,"High",L471&gt;5000,"Medium",TRUE,"Low")</f>
        <v>Low</v>
      </c>
    </row>
    <row r="472" spans="1:18" x14ac:dyDescent="0.3">
      <c r="A472" t="s">
        <v>1131</v>
      </c>
      <c r="B472" s="1">
        <v>45274</v>
      </c>
      <c r="C472" t="s">
        <v>634</v>
      </c>
      <c r="D472" t="s">
        <v>242</v>
      </c>
      <c r="E472" t="s">
        <v>48</v>
      </c>
      <c r="F472" t="s">
        <v>74</v>
      </c>
      <c r="G472" t="s">
        <v>381</v>
      </c>
      <c r="H472">
        <v>5</v>
      </c>
      <c r="I472">
        <v>800</v>
      </c>
      <c r="J472">
        <v>20</v>
      </c>
      <c r="K472">
        <v>800</v>
      </c>
      <c r="L472">
        <v>3200</v>
      </c>
      <c r="M472">
        <v>783.87</v>
      </c>
      <c r="N472" t="s">
        <v>34</v>
      </c>
      <c r="O472" t="s">
        <v>95</v>
      </c>
      <c r="P472" t="str">
        <f t="shared" si="14"/>
        <v>Low Value</v>
      </c>
      <c r="Q472" t="str">
        <f t="shared" si="15"/>
        <v>Low</v>
      </c>
      <c r="R472" t="str" cm="1">
        <f t="array" ref="R472">_xlfn.IFS(L472&gt;50000,"Premium",L472&gt;20000,"High",L472&gt;5000,"Medium",TRUE,"Low")</f>
        <v>Low</v>
      </c>
    </row>
    <row r="473" spans="1:18" x14ac:dyDescent="0.3">
      <c r="A473" t="s">
        <v>1132</v>
      </c>
      <c r="B473" s="1">
        <v>45176</v>
      </c>
      <c r="C473" t="s">
        <v>488</v>
      </c>
      <c r="D473" t="s">
        <v>939</v>
      </c>
      <c r="E473" t="s">
        <v>83</v>
      </c>
      <c r="F473" t="s">
        <v>49</v>
      </c>
      <c r="G473" t="s">
        <v>458</v>
      </c>
      <c r="H473">
        <v>4</v>
      </c>
      <c r="I473">
        <v>549</v>
      </c>
      <c r="J473">
        <v>0</v>
      </c>
      <c r="K473">
        <v>0</v>
      </c>
      <c r="L473">
        <v>2196</v>
      </c>
      <c r="M473">
        <v>360.85</v>
      </c>
      <c r="N473" t="s">
        <v>34</v>
      </c>
      <c r="O473" t="s">
        <v>22</v>
      </c>
      <c r="P473" t="str">
        <f t="shared" si="14"/>
        <v>Low Value</v>
      </c>
      <c r="Q473" t="str">
        <f t="shared" si="15"/>
        <v>Low</v>
      </c>
      <c r="R473" t="str" cm="1">
        <f t="array" ref="R473">_xlfn.IFS(L473&gt;50000,"Premium",L473&gt;20000,"High",L473&gt;5000,"Medium",TRUE,"Low")</f>
        <v>Low</v>
      </c>
    </row>
    <row r="474" spans="1:18" x14ac:dyDescent="0.3">
      <c r="A474" t="s">
        <v>1133</v>
      </c>
      <c r="B474" s="1">
        <v>45250</v>
      </c>
      <c r="C474" t="s">
        <v>1134</v>
      </c>
      <c r="D474" t="s">
        <v>1106</v>
      </c>
      <c r="E474" t="s">
        <v>48</v>
      </c>
      <c r="F474" t="s">
        <v>74</v>
      </c>
      <c r="G474" t="s">
        <v>144</v>
      </c>
      <c r="H474">
        <v>4</v>
      </c>
      <c r="I474">
        <v>1500</v>
      </c>
      <c r="J474">
        <v>0</v>
      </c>
      <c r="K474">
        <v>0</v>
      </c>
      <c r="L474">
        <v>6000</v>
      </c>
      <c r="M474">
        <v>442.4</v>
      </c>
      <c r="N474" t="s">
        <v>34</v>
      </c>
      <c r="O474" t="s">
        <v>35</v>
      </c>
      <c r="P474" t="str">
        <f t="shared" si="14"/>
        <v>Low Value</v>
      </c>
      <c r="Q474" t="str">
        <f t="shared" si="15"/>
        <v>Medium</v>
      </c>
      <c r="R474" t="str" cm="1">
        <f t="array" ref="R474">_xlfn.IFS(L474&gt;50000,"Premium",L474&gt;20000,"High",L474&gt;5000,"Medium",TRUE,"Low")</f>
        <v>Medium</v>
      </c>
    </row>
    <row r="475" spans="1:18" x14ac:dyDescent="0.3">
      <c r="A475" t="s">
        <v>1135</v>
      </c>
      <c r="B475" s="1">
        <v>45236</v>
      </c>
      <c r="C475" t="s">
        <v>1052</v>
      </c>
      <c r="D475" t="s">
        <v>1136</v>
      </c>
      <c r="E475" t="s">
        <v>54</v>
      </c>
      <c r="F475" t="s">
        <v>60</v>
      </c>
      <c r="G475" t="s">
        <v>365</v>
      </c>
      <c r="H475">
        <v>3</v>
      </c>
      <c r="I475">
        <v>650</v>
      </c>
      <c r="J475">
        <v>15</v>
      </c>
      <c r="K475">
        <v>292.5</v>
      </c>
      <c r="L475">
        <v>1657.5</v>
      </c>
      <c r="M475">
        <v>471.21</v>
      </c>
      <c r="N475" t="s">
        <v>41</v>
      </c>
      <c r="O475" t="s">
        <v>35</v>
      </c>
      <c r="P475" t="str">
        <f t="shared" si="14"/>
        <v>Low Value</v>
      </c>
      <c r="Q475" t="str">
        <f t="shared" si="15"/>
        <v>Low</v>
      </c>
      <c r="R475" t="str" cm="1">
        <f t="array" ref="R475">_xlfn.IFS(L475&gt;50000,"Premium",L475&gt;20000,"High",L475&gt;5000,"Medium",TRUE,"Low")</f>
        <v>Low</v>
      </c>
    </row>
    <row r="476" spans="1:18" x14ac:dyDescent="0.3">
      <c r="A476" t="s">
        <v>1137</v>
      </c>
      <c r="B476" s="1">
        <v>45021</v>
      </c>
      <c r="C476" t="s">
        <v>1138</v>
      </c>
      <c r="D476" t="s">
        <v>1021</v>
      </c>
      <c r="E476" t="s">
        <v>83</v>
      </c>
      <c r="F476" t="s">
        <v>49</v>
      </c>
      <c r="G476" t="s">
        <v>50</v>
      </c>
      <c r="H476">
        <v>2</v>
      </c>
      <c r="I476">
        <v>499</v>
      </c>
      <c r="J476">
        <v>25</v>
      </c>
      <c r="K476">
        <v>249.5</v>
      </c>
      <c r="L476">
        <v>748.5</v>
      </c>
      <c r="M476">
        <v>90.11</v>
      </c>
      <c r="N476" t="s">
        <v>41</v>
      </c>
      <c r="O476" t="s">
        <v>35</v>
      </c>
      <c r="P476" t="str">
        <f t="shared" si="14"/>
        <v>Low Value</v>
      </c>
      <c r="Q476" t="str">
        <f t="shared" si="15"/>
        <v>Low</v>
      </c>
      <c r="R476" t="str" cm="1">
        <f t="array" ref="R476">_xlfn.IFS(L476&gt;50000,"Premium",L476&gt;20000,"High",L476&gt;5000,"Medium",TRUE,"Low")</f>
        <v>Low</v>
      </c>
    </row>
    <row r="477" spans="1:18" x14ac:dyDescent="0.3">
      <c r="A477" t="s">
        <v>1139</v>
      </c>
      <c r="B477" s="1">
        <v>44975</v>
      </c>
      <c r="C477" t="s">
        <v>343</v>
      </c>
      <c r="D477" t="s">
        <v>453</v>
      </c>
      <c r="E477" t="s">
        <v>18</v>
      </c>
      <c r="F477" t="s">
        <v>19</v>
      </c>
      <c r="G477" t="s">
        <v>229</v>
      </c>
      <c r="H477">
        <v>5</v>
      </c>
      <c r="I477">
        <v>8000</v>
      </c>
      <c r="J477">
        <v>0</v>
      </c>
      <c r="K477">
        <v>0</v>
      </c>
      <c r="L477">
        <v>40000</v>
      </c>
      <c r="M477">
        <v>2316.38</v>
      </c>
      <c r="N477" t="s">
        <v>34</v>
      </c>
      <c r="O477" t="s">
        <v>95</v>
      </c>
      <c r="P477" t="str">
        <f t="shared" si="14"/>
        <v>High Value</v>
      </c>
      <c r="Q477" t="str">
        <f t="shared" si="15"/>
        <v>High</v>
      </c>
      <c r="R477" t="str" cm="1">
        <f t="array" ref="R477">_xlfn.IFS(L477&gt;50000,"Premium",L477&gt;20000,"High",L477&gt;5000,"Medium",TRUE,"Low")</f>
        <v>High</v>
      </c>
    </row>
    <row r="478" spans="1:18" x14ac:dyDescent="0.3">
      <c r="A478" t="s">
        <v>1140</v>
      </c>
      <c r="B478" s="1">
        <v>45006</v>
      </c>
      <c r="C478" t="s">
        <v>16</v>
      </c>
      <c r="D478" t="s">
        <v>140</v>
      </c>
      <c r="E478" t="s">
        <v>83</v>
      </c>
      <c r="F478" t="s">
        <v>19</v>
      </c>
      <c r="G478" t="s">
        <v>236</v>
      </c>
      <c r="H478">
        <v>4</v>
      </c>
      <c r="I478">
        <v>800</v>
      </c>
      <c r="J478">
        <v>10</v>
      </c>
      <c r="K478">
        <v>320</v>
      </c>
      <c r="L478">
        <v>2880</v>
      </c>
      <c r="M478">
        <v>342.16</v>
      </c>
      <c r="N478" t="s">
        <v>27</v>
      </c>
      <c r="O478" t="s">
        <v>95</v>
      </c>
      <c r="P478" t="str">
        <f t="shared" si="14"/>
        <v>Low Value</v>
      </c>
      <c r="Q478" t="str">
        <f t="shared" si="15"/>
        <v>Low</v>
      </c>
      <c r="R478" t="str" cm="1">
        <f t="array" ref="R478">_xlfn.IFS(L478&gt;50000,"Premium",L478&gt;20000,"High",L478&gt;5000,"Medium",TRUE,"Low")</f>
        <v>Low</v>
      </c>
    </row>
    <row r="479" spans="1:18" x14ac:dyDescent="0.3">
      <c r="A479" t="s">
        <v>1141</v>
      </c>
      <c r="B479" s="1">
        <v>45014</v>
      </c>
      <c r="C479" t="s">
        <v>1142</v>
      </c>
      <c r="D479" t="s">
        <v>874</v>
      </c>
      <c r="E479" t="s">
        <v>54</v>
      </c>
      <c r="F479" t="s">
        <v>19</v>
      </c>
      <c r="G479" t="s">
        <v>20</v>
      </c>
      <c r="H479">
        <v>3</v>
      </c>
      <c r="I479">
        <v>18000</v>
      </c>
      <c r="J479">
        <v>10</v>
      </c>
      <c r="K479">
        <v>5400</v>
      </c>
      <c r="L479">
        <v>48600</v>
      </c>
      <c r="M479">
        <v>15030.64</v>
      </c>
      <c r="N479" t="s">
        <v>27</v>
      </c>
      <c r="O479" t="s">
        <v>95</v>
      </c>
      <c r="P479" t="str">
        <f t="shared" si="14"/>
        <v>High Value</v>
      </c>
      <c r="Q479" t="str">
        <f t="shared" si="15"/>
        <v>High</v>
      </c>
      <c r="R479" t="str" cm="1">
        <f t="array" ref="R479">_xlfn.IFS(L479&gt;50000,"Premium",L479&gt;20000,"High",L479&gt;5000,"Medium",TRUE,"Low")</f>
        <v>High</v>
      </c>
    </row>
    <row r="480" spans="1:18" x14ac:dyDescent="0.3">
      <c r="A480" t="s">
        <v>1143</v>
      </c>
      <c r="B480" s="1">
        <v>45017</v>
      </c>
      <c r="C480" t="s">
        <v>1071</v>
      </c>
      <c r="D480" t="s">
        <v>548</v>
      </c>
      <c r="E480" t="s">
        <v>78</v>
      </c>
      <c r="F480" t="s">
        <v>74</v>
      </c>
      <c r="G480" t="s">
        <v>144</v>
      </c>
      <c r="H480">
        <v>4</v>
      </c>
      <c r="I480">
        <v>1500</v>
      </c>
      <c r="J480">
        <v>25</v>
      </c>
      <c r="K480">
        <v>1500</v>
      </c>
      <c r="L480">
        <v>4500</v>
      </c>
      <c r="M480">
        <v>1236.03</v>
      </c>
      <c r="N480" t="s">
        <v>34</v>
      </c>
      <c r="O480" t="s">
        <v>22</v>
      </c>
      <c r="P480" t="str">
        <f t="shared" si="14"/>
        <v>Low Value</v>
      </c>
      <c r="Q480" t="str">
        <f t="shared" si="15"/>
        <v>Low</v>
      </c>
      <c r="R480" t="str" cm="1">
        <f t="array" ref="R480">_xlfn.IFS(L480&gt;50000,"Premium",L480&gt;20000,"High",L480&gt;5000,"Medium",TRUE,"Low")</f>
        <v>Low</v>
      </c>
    </row>
    <row r="481" spans="1:18" x14ac:dyDescent="0.3">
      <c r="A481" t="s">
        <v>1144</v>
      </c>
      <c r="B481" s="1">
        <v>45203</v>
      </c>
      <c r="C481" t="s">
        <v>1145</v>
      </c>
      <c r="D481" t="s">
        <v>30</v>
      </c>
      <c r="E481" t="s">
        <v>78</v>
      </c>
      <c r="F481" t="s">
        <v>69</v>
      </c>
      <c r="G481" t="s">
        <v>111</v>
      </c>
      <c r="H481">
        <v>1</v>
      </c>
      <c r="I481">
        <v>3499</v>
      </c>
      <c r="J481">
        <v>15</v>
      </c>
      <c r="K481">
        <v>524.85</v>
      </c>
      <c r="L481">
        <v>2974.15</v>
      </c>
      <c r="M481">
        <v>423.4</v>
      </c>
      <c r="N481" t="s">
        <v>99</v>
      </c>
      <c r="O481" t="s">
        <v>35</v>
      </c>
      <c r="P481" t="str">
        <f t="shared" si="14"/>
        <v>Low Value</v>
      </c>
      <c r="Q481" t="str">
        <f t="shared" si="15"/>
        <v>Low</v>
      </c>
      <c r="R481" t="str" cm="1">
        <f t="array" ref="R481">_xlfn.IFS(L481&gt;50000,"Premium",L481&gt;20000,"High",L481&gt;5000,"Medium",TRUE,"Low")</f>
        <v>Low</v>
      </c>
    </row>
    <row r="482" spans="1:18" x14ac:dyDescent="0.3">
      <c r="A482" t="s">
        <v>1146</v>
      </c>
      <c r="B482" s="1">
        <v>45194</v>
      </c>
      <c r="C482" t="s">
        <v>52</v>
      </c>
      <c r="D482" t="s">
        <v>433</v>
      </c>
      <c r="E482" t="s">
        <v>54</v>
      </c>
      <c r="F482" t="s">
        <v>49</v>
      </c>
      <c r="G482" t="s">
        <v>753</v>
      </c>
      <c r="H482">
        <v>2</v>
      </c>
      <c r="I482">
        <v>299</v>
      </c>
      <c r="J482">
        <v>10</v>
      </c>
      <c r="K482">
        <v>59.8</v>
      </c>
      <c r="L482">
        <v>538.20000000000005</v>
      </c>
      <c r="M482">
        <v>73.209999999999994</v>
      </c>
      <c r="N482" t="s">
        <v>34</v>
      </c>
      <c r="O482" t="s">
        <v>35</v>
      </c>
      <c r="P482" t="str">
        <f t="shared" si="14"/>
        <v>Low Value</v>
      </c>
      <c r="Q482" t="str">
        <f t="shared" si="15"/>
        <v>Low</v>
      </c>
      <c r="R482" t="str" cm="1">
        <f t="array" ref="R482">_xlfn.IFS(L482&gt;50000,"Premium",L482&gt;20000,"High",L482&gt;5000,"Medium",TRUE,"Low")</f>
        <v>Low</v>
      </c>
    </row>
    <row r="483" spans="1:18" x14ac:dyDescent="0.3">
      <c r="A483" t="s">
        <v>1147</v>
      </c>
      <c r="B483" s="1">
        <v>45147</v>
      </c>
      <c r="C483" t="s">
        <v>187</v>
      </c>
      <c r="D483" t="s">
        <v>1032</v>
      </c>
      <c r="E483" t="s">
        <v>26</v>
      </c>
      <c r="F483" t="s">
        <v>49</v>
      </c>
      <c r="G483" t="s">
        <v>161</v>
      </c>
      <c r="H483">
        <v>5</v>
      </c>
      <c r="I483">
        <v>599</v>
      </c>
      <c r="J483">
        <v>5</v>
      </c>
      <c r="K483">
        <v>149.75</v>
      </c>
      <c r="L483">
        <v>2845.25</v>
      </c>
      <c r="M483">
        <v>822.36</v>
      </c>
      <c r="N483" t="s">
        <v>21</v>
      </c>
      <c r="O483" t="s">
        <v>22</v>
      </c>
      <c r="P483" t="str">
        <f t="shared" si="14"/>
        <v>Low Value</v>
      </c>
      <c r="Q483" t="str">
        <f t="shared" si="15"/>
        <v>Low</v>
      </c>
      <c r="R483" t="str" cm="1">
        <f t="array" ref="R483">_xlfn.IFS(L483&gt;50000,"Premium",L483&gt;20000,"High",L483&gt;5000,"Medium",TRUE,"Low")</f>
        <v>Low</v>
      </c>
    </row>
    <row r="484" spans="1:18" x14ac:dyDescent="0.3">
      <c r="A484" t="s">
        <v>1148</v>
      </c>
      <c r="B484" s="1">
        <v>45129</v>
      </c>
      <c r="C484" t="s">
        <v>890</v>
      </c>
      <c r="D484" t="s">
        <v>168</v>
      </c>
      <c r="E484" t="s">
        <v>78</v>
      </c>
      <c r="F484" t="s">
        <v>69</v>
      </c>
      <c r="G484" t="s">
        <v>202</v>
      </c>
      <c r="H484">
        <v>4</v>
      </c>
      <c r="I484">
        <v>1299</v>
      </c>
      <c r="J484">
        <v>15</v>
      </c>
      <c r="K484">
        <v>779.4</v>
      </c>
      <c r="L484">
        <v>4416.6000000000004</v>
      </c>
      <c r="M484">
        <v>513.11</v>
      </c>
      <c r="N484" t="s">
        <v>34</v>
      </c>
      <c r="O484" t="s">
        <v>95</v>
      </c>
      <c r="P484" t="str">
        <f t="shared" si="14"/>
        <v>Low Value</v>
      </c>
      <c r="Q484" t="str">
        <f t="shared" si="15"/>
        <v>Low</v>
      </c>
      <c r="R484" t="str" cm="1">
        <f t="array" ref="R484">_xlfn.IFS(L484&gt;50000,"Premium",L484&gt;20000,"High",L484&gt;5000,"Medium",TRUE,"Low")</f>
        <v>Low</v>
      </c>
    </row>
    <row r="485" spans="1:18" x14ac:dyDescent="0.3">
      <c r="A485" t="s">
        <v>1149</v>
      </c>
      <c r="B485" s="1">
        <v>45064</v>
      </c>
      <c r="C485" t="s">
        <v>1150</v>
      </c>
      <c r="D485" t="s">
        <v>1151</v>
      </c>
      <c r="E485" t="s">
        <v>54</v>
      </c>
      <c r="F485" t="s">
        <v>39</v>
      </c>
      <c r="G485" t="s">
        <v>84</v>
      </c>
      <c r="H485">
        <v>1</v>
      </c>
      <c r="I485">
        <v>6500</v>
      </c>
      <c r="J485">
        <v>5</v>
      </c>
      <c r="K485">
        <v>325</v>
      </c>
      <c r="L485">
        <v>6175</v>
      </c>
      <c r="M485">
        <v>561.85</v>
      </c>
      <c r="N485" t="s">
        <v>34</v>
      </c>
      <c r="O485" t="s">
        <v>95</v>
      </c>
      <c r="P485" t="str">
        <f t="shared" si="14"/>
        <v>Low Value</v>
      </c>
      <c r="Q485" t="str">
        <f t="shared" si="15"/>
        <v>Medium</v>
      </c>
      <c r="R485" t="str" cm="1">
        <f t="array" ref="R485">_xlfn.IFS(L485&gt;50000,"Premium",L485&gt;20000,"High",L485&gt;5000,"Medium",TRUE,"Low")</f>
        <v>Medium</v>
      </c>
    </row>
    <row r="486" spans="1:18" x14ac:dyDescent="0.3">
      <c r="A486" t="s">
        <v>1152</v>
      </c>
      <c r="B486" s="1">
        <v>45178</v>
      </c>
      <c r="C486" t="s">
        <v>52</v>
      </c>
      <c r="D486" t="s">
        <v>1153</v>
      </c>
      <c r="E486" t="s">
        <v>18</v>
      </c>
      <c r="F486" t="s">
        <v>69</v>
      </c>
      <c r="G486" t="s">
        <v>275</v>
      </c>
      <c r="H486">
        <v>1</v>
      </c>
      <c r="I486">
        <v>799</v>
      </c>
      <c r="J486">
        <v>5</v>
      </c>
      <c r="K486">
        <v>39.950000000000003</v>
      </c>
      <c r="L486">
        <v>759.05</v>
      </c>
      <c r="M486">
        <v>49.25</v>
      </c>
      <c r="N486" t="s">
        <v>34</v>
      </c>
      <c r="O486" t="s">
        <v>35</v>
      </c>
      <c r="P486" t="str">
        <f t="shared" si="14"/>
        <v>Low Value</v>
      </c>
      <c r="Q486" t="str">
        <f t="shared" si="15"/>
        <v>Low</v>
      </c>
      <c r="R486" t="str" cm="1">
        <f t="array" ref="R486">_xlfn.IFS(L486&gt;50000,"Premium",L486&gt;20000,"High",L486&gt;5000,"Medium",TRUE,"Low")</f>
        <v>Low</v>
      </c>
    </row>
    <row r="487" spans="1:18" x14ac:dyDescent="0.3">
      <c r="A487" t="s">
        <v>1154</v>
      </c>
      <c r="B487" s="1">
        <v>44991</v>
      </c>
      <c r="C487" t="s">
        <v>945</v>
      </c>
      <c r="D487" t="s">
        <v>106</v>
      </c>
      <c r="E487" t="s">
        <v>48</v>
      </c>
      <c r="F487" t="s">
        <v>60</v>
      </c>
      <c r="G487" t="s">
        <v>365</v>
      </c>
      <c r="H487">
        <v>1</v>
      </c>
      <c r="I487">
        <v>650</v>
      </c>
      <c r="J487">
        <v>5</v>
      </c>
      <c r="K487">
        <v>32.5</v>
      </c>
      <c r="L487">
        <v>617.5</v>
      </c>
      <c r="M487">
        <v>47.58</v>
      </c>
      <c r="N487" t="s">
        <v>41</v>
      </c>
      <c r="O487" t="s">
        <v>35</v>
      </c>
      <c r="P487" t="str">
        <f t="shared" si="14"/>
        <v>Low Value</v>
      </c>
      <c r="Q487" t="str">
        <f t="shared" si="15"/>
        <v>Low</v>
      </c>
      <c r="R487" t="str" cm="1">
        <f t="array" ref="R487">_xlfn.IFS(L487&gt;50000,"Premium",L487&gt;20000,"High",L487&gt;5000,"Medium",TRUE,"Low")</f>
        <v>Low</v>
      </c>
    </row>
    <row r="488" spans="1:18" x14ac:dyDescent="0.3">
      <c r="A488" t="s">
        <v>1155</v>
      </c>
      <c r="B488" s="1">
        <v>45182</v>
      </c>
      <c r="C488" t="s">
        <v>1115</v>
      </c>
      <c r="D488" t="s">
        <v>1156</v>
      </c>
      <c r="E488" t="s">
        <v>78</v>
      </c>
      <c r="F488" t="s">
        <v>32</v>
      </c>
      <c r="G488" t="s">
        <v>259</v>
      </c>
      <c r="H488">
        <v>1</v>
      </c>
      <c r="I488">
        <v>450</v>
      </c>
      <c r="J488">
        <v>10</v>
      </c>
      <c r="K488">
        <v>45</v>
      </c>
      <c r="L488">
        <v>405</v>
      </c>
      <c r="M488">
        <v>30</v>
      </c>
      <c r="N488" t="s">
        <v>41</v>
      </c>
      <c r="O488" t="s">
        <v>35</v>
      </c>
      <c r="P488" t="str">
        <f t="shared" si="14"/>
        <v>Low Value</v>
      </c>
      <c r="Q488" t="str">
        <f t="shared" si="15"/>
        <v>Low</v>
      </c>
      <c r="R488" t="str" cm="1">
        <f t="array" ref="R488">_xlfn.IFS(L488&gt;50000,"Premium",L488&gt;20000,"High",L488&gt;5000,"Medium",TRUE,"Low")</f>
        <v>Low</v>
      </c>
    </row>
    <row r="489" spans="1:18" x14ac:dyDescent="0.3">
      <c r="A489" t="s">
        <v>1157</v>
      </c>
      <c r="B489" s="1">
        <v>45205</v>
      </c>
      <c r="C489" t="s">
        <v>153</v>
      </c>
      <c r="D489" t="s">
        <v>157</v>
      </c>
      <c r="E489" t="s">
        <v>31</v>
      </c>
      <c r="F489" t="s">
        <v>39</v>
      </c>
      <c r="G489" t="s">
        <v>84</v>
      </c>
      <c r="H489">
        <v>2</v>
      </c>
      <c r="I489">
        <v>6500</v>
      </c>
      <c r="J489">
        <v>10</v>
      </c>
      <c r="K489">
        <v>1300</v>
      </c>
      <c r="L489">
        <v>11700</v>
      </c>
      <c r="M489">
        <v>3453.55</v>
      </c>
      <c r="N489" t="s">
        <v>41</v>
      </c>
      <c r="O489" t="s">
        <v>22</v>
      </c>
      <c r="P489" t="str">
        <f t="shared" si="14"/>
        <v>Low Value</v>
      </c>
      <c r="Q489" t="str">
        <f t="shared" si="15"/>
        <v>Medium</v>
      </c>
      <c r="R489" t="str" cm="1">
        <f t="array" ref="R489">_xlfn.IFS(L489&gt;50000,"Premium",L489&gt;20000,"High",L489&gt;5000,"Medium",TRUE,"Low")</f>
        <v>Medium</v>
      </c>
    </row>
    <row r="490" spans="1:18" x14ac:dyDescent="0.3">
      <c r="A490" t="s">
        <v>1158</v>
      </c>
      <c r="B490" s="1">
        <v>45053</v>
      </c>
      <c r="C490" t="s">
        <v>404</v>
      </c>
      <c r="D490" t="s">
        <v>962</v>
      </c>
      <c r="E490" t="s">
        <v>54</v>
      </c>
      <c r="F490" t="s">
        <v>60</v>
      </c>
      <c r="G490" t="s">
        <v>291</v>
      </c>
      <c r="H490">
        <v>2</v>
      </c>
      <c r="I490">
        <v>450</v>
      </c>
      <c r="J490">
        <v>15</v>
      </c>
      <c r="K490">
        <v>135</v>
      </c>
      <c r="L490">
        <v>765</v>
      </c>
      <c r="M490">
        <v>207.01</v>
      </c>
      <c r="N490" t="s">
        <v>41</v>
      </c>
      <c r="O490" t="s">
        <v>35</v>
      </c>
      <c r="P490" t="str">
        <f t="shared" si="14"/>
        <v>Low Value</v>
      </c>
      <c r="Q490" t="str">
        <f t="shared" si="15"/>
        <v>Low</v>
      </c>
      <c r="R490" t="str" cm="1">
        <f t="array" ref="R490">_xlfn.IFS(L490&gt;50000,"Premium",L490&gt;20000,"High",L490&gt;5000,"Medium",TRUE,"Low")</f>
        <v>Low</v>
      </c>
    </row>
    <row r="491" spans="1:18" x14ac:dyDescent="0.3">
      <c r="A491" t="s">
        <v>1159</v>
      </c>
      <c r="B491" s="1">
        <v>45092</v>
      </c>
      <c r="C491" t="s">
        <v>1084</v>
      </c>
      <c r="D491" t="s">
        <v>1160</v>
      </c>
      <c r="E491" t="s">
        <v>54</v>
      </c>
      <c r="F491" t="s">
        <v>69</v>
      </c>
      <c r="G491" t="s">
        <v>70</v>
      </c>
      <c r="H491">
        <v>1</v>
      </c>
      <c r="I491">
        <v>2499</v>
      </c>
      <c r="J491">
        <v>25</v>
      </c>
      <c r="K491">
        <v>624.75</v>
      </c>
      <c r="L491">
        <v>1874.25</v>
      </c>
      <c r="M491">
        <v>620.79999999999995</v>
      </c>
      <c r="N491" t="s">
        <v>34</v>
      </c>
      <c r="O491" t="s">
        <v>35</v>
      </c>
      <c r="P491" t="str">
        <f t="shared" si="14"/>
        <v>Low Value</v>
      </c>
      <c r="Q491" t="str">
        <f t="shared" si="15"/>
        <v>Low</v>
      </c>
      <c r="R491" t="str" cm="1">
        <f t="array" ref="R491">_xlfn.IFS(L491&gt;50000,"Premium",L491&gt;20000,"High",L491&gt;5000,"Medium",TRUE,"Low")</f>
        <v>Low</v>
      </c>
    </row>
    <row r="492" spans="1:18" x14ac:dyDescent="0.3">
      <c r="A492" t="s">
        <v>1161</v>
      </c>
      <c r="B492" s="1">
        <v>45111</v>
      </c>
      <c r="C492" t="s">
        <v>1162</v>
      </c>
      <c r="D492" t="s">
        <v>688</v>
      </c>
      <c r="E492" t="s">
        <v>83</v>
      </c>
      <c r="F492" t="s">
        <v>19</v>
      </c>
      <c r="G492" t="s">
        <v>107</v>
      </c>
      <c r="H492">
        <v>2</v>
      </c>
      <c r="I492">
        <v>4500</v>
      </c>
      <c r="J492">
        <v>0</v>
      </c>
      <c r="K492">
        <v>0</v>
      </c>
      <c r="L492">
        <v>9000</v>
      </c>
      <c r="M492">
        <v>1087.1099999999999</v>
      </c>
      <c r="N492" t="s">
        <v>34</v>
      </c>
      <c r="O492" t="s">
        <v>95</v>
      </c>
      <c r="P492" t="str">
        <f t="shared" si="14"/>
        <v>Low Value</v>
      </c>
      <c r="Q492" t="str">
        <f t="shared" si="15"/>
        <v>Medium</v>
      </c>
      <c r="R492" t="str" cm="1">
        <f t="array" ref="R492">_xlfn.IFS(L492&gt;50000,"Premium",L492&gt;20000,"High",L492&gt;5000,"Medium",TRUE,"Low")</f>
        <v>Medium</v>
      </c>
    </row>
    <row r="493" spans="1:18" x14ac:dyDescent="0.3">
      <c r="A493" t="s">
        <v>1163</v>
      </c>
      <c r="B493" s="1">
        <v>44988</v>
      </c>
      <c r="C493" t="s">
        <v>1035</v>
      </c>
      <c r="D493" t="s">
        <v>912</v>
      </c>
      <c r="E493" t="s">
        <v>83</v>
      </c>
      <c r="F493" t="s">
        <v>39</v>
      </c>
      <c r="G493" t="s">
        <v>209</v>
      </c>
      <c r="H493">
        <v>2</v>
      </c>
      <c r="I493">
        <v>3200</v>
      </c>
      <c r="J493">
        <v>0</v>
      </c>
      <c r="K493">
        <v>0</v>
      </c>
      <c r="L493">
        <v>6400</v>
      </c>
      <c r="M493">
        <v>2180.16</v>
      </c>
      <c r="N493" t="s">
        <v>34</v>
      </c>
      <c r="O493" t="s">
        <v>35</v>
      </c>
      <c r="P493" t="str">
        <f t="shared" si="14"/>
        <v>Low Value</v>
      </c>
      <c r="Q493" t="str">
        <f t="shared" si="15"/>
        <v>Medium</v>
      </c>
      <c r="R493" t="str" cm="1">
        <f t="array" ref="R493">_xlfn.IFS(L493&gt;50000,"Premium",L493&gt;20000,"High",L493&gt;5000,"Medium",TRUE,"Low")</f>
        <v>Medium</v>
      </c>
    </row>
    <row r="494" spans="1:18" x14ac:dyDescent="0.3">
      <c r="A494" t="s">
        <v>1164</v>
      </c>
      <c r="B494" s="1">
        <v>45054</v>
      </c>
      <c r="C494" t="s">
        <v>1165</v>
      </c>
      <c r="D494" t="s">
        <v>1166</v>
      </c>
      <c r="E494" t="s">
        <v>48</v>
      </c>
      <c r="F494" t="s">
        <v>69</v>
      </c>
      <c r="G494" t="s">
        <v>119</v>
      </c>
      <c r="H494">
        <v>1</v>
      </c>
      <c r="I494">
        <v>2500</v>
      </c>
      <c r="J494">
        <v>25</v>
      </c>
      <c r="K494">
        <v>625</v>
      </c>
      <c r="L494">
        <v>1875</v>
      </c>
      <c r="M494">
        <v>441.74</v>
      </c>
      <c r="N494" t="s">
        <v>27</v>
      </c>
      <c r="O494" t="s">
        <v>95</v>
      </c>
      <c r="P494" t="str">
        <f t="shared" si="14"/>
        <v>Low Value</v>
      </c>
      <c r="Q494" t="str">
        <f t="shared" si="15"/>
        <v>Low</v>
      </c>
      <c r="R494" t="str" cm="1">
        <f t="array" ref="R494">_xlfn.IFS(L494&gt;50000,"Premium",L494&gt;20000,"High",L494&gt;5000,"Medium",TRUE,"Low")</f>
        <v>Low</v>
      </c>
    </row>
    <row r="495" spans="1:18" x14ac:dyDescent="0.3">
      <c r="A495" t="s">
        <v>1167</v>
      </c>
      <c r="B495" s="1">
        <v>44981</v>
      </c>
      <c r="C495" t="s">
        <v>390</v>
      </c>
      <c r="D495" t="s">
        <v>98</v>
      </c>
      <c r="E495" t="s">
        <v>31</v>
      </c>
      <c r="F495" t="s">
        <v>69</v>
      </c>
      <c r="G495" t="s">
        <v>119</v>
      </c>
      <c r="H495">
        <v>2</v>
      </c>
      <c r="I495">
        <v>2500</v>
      </c>
      <c r="J495">
        <v>10</v>
      </c>
      <c r="K495">
        <v>500</v>
      </c>
      <c r="L495">
        <v>4500</v>
      </c>
      <c r="M495">
        <v>1550.26</v>
      </c>
      <c r="N495" t="s">
        <v>99</v>
      </c>
      <c r="O495" t="s">
        <v>22</v>
      </c>
      <c r="P495" t="str">
        <f t="shared" si="14"/>
        <v>Low Value</v>
      </c>
      <c r="Q495" t="str">
        <f t="shared" si="15"/>
        <v>Low</v>
      </c>
      <c r="R495" t="str" cm="1">
        <f t="array" ref="R495">_xlfn.IFS(L495&gt;50000,"Premium",L495&gt;20000,"High",L495&gt;5000,"Medium",TRUE,"Low")</f>
        <v>Low</v>
      </c>
    </row>
    <row r="496" spans="1:18" x14ac:dyDescent="0.3">
      <c r="A496" t="s">
        <v>1168</v>
      </c>
      <c r="B496" s="1">
        <v>45110</v>
      </c>
      <c r="C496" t="s">
        <v>520</v>
      </c>
      <c r="D496" t="s">
        <v>676</v>
      </c>
      <c r="E496" t="s">
        <v>54</v>
      </c>
      <c r="F496" t="s">
        <v>60</v>
      </c>
      <c r="G496" t="s">
        <v>165</v>
      </c>
      <c r="H496">
        <v>3</v>
      </c>
      <c r="I496">
        <v>300</v>
      </c>
      <c r="J496">
        <v>0</v>
      </c>
      <c r="K496">
        <v>0</v>
      </c>
      <c r="L496">
        <v>900</v>
      </c>
      <c r="M496">
        <v>176.03</v>
      </c>
      <c r="N496" t="s">
        <v>27</v>
      </c>
      <c r="O496" t="s">
        <v>95</v>
      </c>
      <c r="P496" t="str">
        <f t="shared" si="14"/>
        <v>Low Value</v>
      </c>
      <c r="Q496" t="str">
        <f t="shared" si="15"/>
        <v>Low</v>
      </c>
      <c r="R496" t="str" cm="1">
        <f t="array" ref="R496">_xlfn.IFS(L496&gt;50000,"Premium",L496&gt;20000,"High",L496&gt;5000,"Medium",TRUE,"Low")</f>
        <v>Low</v>
      </c>
    </row>
    <row r="497" spans="1:18" x14ac:dyDescent="0.3">
      <c r="A497" t="s">
        <v>1169</v>
      </c>
      <c r="B497" s="1">
        <v>45022</v>
      </c>
      <c r="C497" t="s">
        <v>936</v>
      </c>
      <c r="D497" t="s">
        <v>1170</v>
      </c>
      <c r="E497" t="s">
        <v>83</v>
      </c>
      <c r="F497" t="s">
        <v>74</v>
      </c>
      <c r="G497" t="s">
        <v>341</v>
      </c>
      <c r="H497">
        <v>3</v>
      </c>
      <c r="I497">
        <v>700</v>
      </c>
      <c r="J497">
        <v>25</v>
      </c>
      <c r="K497">
        <v>525</v>
      </c>
      <c r="L497">
        <v>1575</v>
      </c>
      <c r="M497">
        <v>300.07</v>
      </c>
      <c r="N497" t="s">
        <v>99</v>
      </c>
      <c r="O497" t="s">
        <v>95</v>
      </c>
      <c r="P497" t="str">
        <f t="shared" si="14"/>
        <v>Low Value</v>
      </c>
      <c r="Q497" t="str">
        <f t="shared" si="15"/>
        <v>Low</v>
      </c>
      <c r="R497" t="str" cm="1">
        <f t="array" ref="R497">_xlfn.IFS(L497&gt;50000,"Premium",L497&gt;20000,"High",L497&gt;5000,"Medium",TRUE,"Low")</f>
        <v>Low</v>
      </c>
    </row>
    <row r="498" spans="1:18" x14ac:dyDescent="0.3">
      <c r="A498" t="s">
        <v>1171</v>
      </c>
      <c r="B498" s="1">
        <v>45006</v>
      </c>
      <c r="C498" t="s">
        <v>1172</v>
      </c>
      <c r="D498" t="s">
        <v>744</v>
      </c>
      <c r="E498" t="s">
        <v>83</v>
      </c>
      <c r="F498" t="s">
        <v>39</v>
      </c>
      <c r="G498" t="s">
        <v>126</v>
      </c>
      <c r="H498">
        <v>3</v>
      </c>
      <c r="I498">
        <v>4200</v>
      </c>
      <c r="J498">
        <v>20</v>
      </c>
      <c r="K498">
        <v>2520</v>
      </c>
      <c r="L498">
        <v>10080</v>
      </c>
      <c r="M498">
        <v>1614.15</v>
      </c>
      <c r="N498" t="s">
        <v>99</v>
      </c>
      <c r="O498" t="s">
        <v>95</v>
      </c>
      <c r="P498" t="str">
        <f t="shared" si="14"/>
        <v>Low Value</v>
      </c>
      <c r="Q498" t="str">
        <f t="shared" si="15"/>
        <v>Medium</v>
      </c>
      <c r="R498" t="str" cm="1">
        <f t="array" ref="R498">_xlfn.IFS(L498&gt;50000,"Premium",L498&gt;20000,"High",L498&gt;5000,"Medium",TRUE,"Low")</f>
        <v>Medium</v>
      </c>
    </row>
    <row r="499" spans="1:18" x14ac:dyDescent="0.3">
      <c r="A499" t="s">
        <v>1173</v>
      </c>
      <c r="B499" s="1">
        <v>45113</v>
      </c>
      <c r="C499" t="s">
        <v>1174</v>
      </c>
      <c r="D499" t="s">
        <v>1175</v>
      </c>
      <c r="E499" t="s">
        <v>31</v>
      </c>
      <c r="F499" t="s">
        <v>49</v>
      </c>
      <c r="G499" t="s">
        <v>331</v>
      </c>
      <c r="H499">
        <v>2</v>
      </c>
      <c r="I499">
        <v>699</v>
      </c>
      <c r="J499">
        <v>10</v>
      </c>
      <c r="K499">
        <v>139.80000000000001</v>
      </c>
      <c r="L499">
        <v>1258.2</v>
      </c>
      <c r="M499">
        <v>335.06</v>
      </c>
      <c r="N499" t="s">
        <v>21</v>
      </c>
      <c r="O499" t="s">
        <v>22</v>
      </c>
      <c r="P499" t="str">
        <f t="shared" si="14"/>
        <v>Low Value</v>
      </c>
      <c r="Q499" t="str">
        <f t="shared" si="15"/>
        <v>Low</v>
      </c>
      <c r="R499" t="str" cm="1">
        <f t="array" ref="R499">_xlfn.IFS(L499&gt;50000,"Premium",L499&gt;20000,"High",L499&gt;5000,"Medium",TRUE,"Low")</f>
        <v>Low</v>
      </c>
    </row>
    <row r="500" spans="1:18" x14ac:dyDescent="0.3">
      <c r="A500" t="s">
        <v>1176</v>
      </c>
      <c r="B500" s="1">
        <v>45209</v>
      </c>
      <c r="C500" t="s">
        <v>1177</v>
      </c>
      <c r="D500" t="s">
        <v>787</v>
      </c>
      <c r="E500" t="s">
        <v>18</v>
      </c>
      <c r="F500" t="s">
        <v>69</v>
      </c>
      <c r="G500" t="s">
        <v>243</v>
      </c>
      <c r="H500">
        <v>3</v>
      </c>
      <c r="I500">
        <v>1999</v>
      </c>
      <c r="J500">
        <v>10</v>
      </c>
      <c r="K500">
        <v>599.70000000000005</v>
      </c>
      <c r="L500">
        <v>5397.3</v>
      </c>
      <c r="M500">
        <v>933.42</v>
      </c>
      <c r="N500" t="s">
        <v>99</v>
      </c>
      <c r="O500" t="s">
        <v>35</v>
      </c>
      <c r="P500" t="str">
        <f t="shared" si="14"/>
        <v>Low Value</v>
      </c>
      <c r="Q500" t="str">
        <f t="shared" si="15"/>
        <v>Medium</v>
      </c>
      <c r="R500" t="str" cm="1">
        <f t="array" ref="R500">_xlfn.IFS(L500&gt;50000,"Premium",L500&gt;20000,"High",L500&gt;5000,"Medium",TRUE,"Low")</f>
        <v>Medium</v>
      </c>
    </row>
    <row r="501" spans="1:18" x14ac:dyDescent="0.3">
      <c r="A501" t="s">
        <v>1178</v>
      </c>
      <c r="B501" s="1">
        <v>45018</v>
      </c>
      <c r="C501" t="s">
        <v>1179</v>
      </c>
      <c r="D501" t="s">
        <v>129</v>
      </c>
      <c r="E501" t="s">
        <v>26</v>
      </c>
      <c r="F501" t="s">
        <v>49</v>
      </c>
      <c r="G501" t="s">
        <v>50</v>
      </c>
      <c r="H501">
        <v>2</v>
      </c>
      <c r="I501">
        <v>499</v>
      </c>
      <c r="J501">
        <v>0</v>
      </c>
      <c r="K501">
        <v>0</v>
      </c>
      <c r="L501">
        <v>998</v>
      </c>
      <c r="M501">
        <v>195.22</v>
      </c>
      <c r="N501" t="s">
        <v>41</v>
      </c>
      <c r="O501" t="s">
        <v>95</v>
      </c>
      <c r="P501" t="str">
        <f t="shared" si="14"/>
        <v>Low Value</v>
      </c>
      <c r="Q501" t="str">
        <f t="shared" si="15"/>
        <v>Low</v>
      </c>
      <c r="R501" t="str" cm="1">
        <f t="array" ref="R501">_xlfn.IFS(L501&gt;50000,"Premium",L501&gt;20000,"High",L501&gt;5000,"Medium",TRUE,"Low")</f>
        <v>Low</v>
      </c>
    </row>
    <row r="502" spans="1:18" x14ac:dyDescent="0.3">
      <c r="A502" t="s">
        <v>1180</v>
      </c>
      <c r="B502" s="1">
        <v>45246</v>
      </c>
      <c r="C502" t="s">
        <v>552</v>
      </c>
      <c r="D502" t="s">
        <v>800</v>
      </c>
      <c r="E502" t="s">
        <v>31</v>
      </c>
      <c r="F502" t="s">
        <v>60</v>
      </c>
      <c r="G502" t="s">
        <v>61</v>
      </c>
      <c r="H502">
        <v>3</v>
      </c>
      <c r="I502">
        <v>850</v>
      </c>
      <c r="J502">
        <v>0</v>
      </c>
      <c r="K502">
        <v>0</v>
      </c>
      <c r="L502">
        <v>2550</v>
      </c>
      <c r="M502">
        <v>407.76</v>
      </c>
      <c r="N502" t="s">
        <v>41</v>
      </c>
      <c r="O502" t="s">
        <v>35</v>
      </c>
      <c r="P502" t="str">
        <f t="shared" si="14"/>
        <v>Low Value</v>
      </c>
      <c r="Q502" t="str">
        <f t="shared" si="15"/>
        <v>Low</v>
      </c>
      <c r="R502" t="str" cm="1">
        <f t="array" ref="R502">_xlfn.IFS(L502&gt;50000,"Premium",L502&gt;20000,"High",L502&gt;5000,"Medium",TRUE,"Low")</f>
        <v>Low</v>
      </c>
    </row>
    <row r="503" spans="1:18" x14ac:dyDescent="0.3">
      <c r="A503" t="s">
        <v>1181</v>
      </c>
      <c r="B503" s="1">
        <v>45166</v>
      </c>
      <c r="C503" t="s">
        <v>1052</v>
      </c>
      <c r="D503" t="s">
        <v>110</v>
      </c>
      <c r="E503" t="s">
        <v>59</v>
      </c>
      <c r="F503" t="s">
        <v>49</v>
      </c>
      <c r="G503" t="s">
        <v>458</v>
      </c>
      <c r="H503">
        <v>1</v>
      </c>
      <c r="I503">
        <v>549</v>
      </c>
      <c r="J503">
        <v>10</v>
      </c>
      <c r="K503">
        <v>54.9</v>
      </c>
      <c r="L503">
        <v>494.1</v>
      </c>
      <c r="M503">
        <v>107.42</v>
      </c>
      <c r="N503" t="s">
        <v>21</v>
      </c>
      <c r="O503" t="s">
        <v>35</v>
      </c>
      <c r="P503" t="str">
        <f t="shared" si="14"/>
        <v>Low Value</v>
      </c>
      <c r="Q503" t="str">
        <f t="shared" si="15"/>
        <v>Low</v>
      </c>
      <c r="R503" t="str" cm="1">
        <f t="array" ref="R503">_xlfn.IFS(L503&gt;50000,"Premium",L503&gt;20000,"High",L503&gt;5000,"Medium",TRUE,"Low")</f>
        <v>Low</v>
      </c>
    </row>
    <row r="504" spans="1:18" x14ac:dyDescent="0.3">
      <c r="A504" t="s">
        <v>1182</v>
      </c>
      <c r="B504" s="1">
        <v>45197</v>
      </c>
      <c r="C504" t="s">
        <v>1126</v>
      </c>
      <c r="D504" t="s">
        <v>396</v>
      </c>
      <c r="E504" t="s">
        <v>18</v>
      </c>
      <c r="F504" t="s">
        <v>19</v>
      </c>
      <c r="G504" t="s">
        <v>236</v>
      </c>
      <c r="H504">
        <v>1</v>
      </c>
      <c r="I504">
        <v>800</v>
      </c>
      <c r="J504">
        <v>10</v>
      </c>
      <c r="K504">
        <v>80</v>
      </c>
      <c r="L504">
        <v>720</v>
      </c>
      <c r="M504">
        <v>52.83</v>
      </c>
      <c r="N504" t="s">
        <v>27</v>
      </c>
      <c r="O504" t="s">
        <v>95</v>
      </c>
      <c r="P504" t="str">
        <f t="shared" si="14"/>
        <v>Low Value</v>
      </c>
      <c r="Q504" t="str">
        <f t="shared" si="15"/>
        <v>Low</v>
      </c>
      <c r="R504" t="str" cm="1">
        <f t="array" ref="R504">_xlfn.IFS(L504&gt;50000,"Premium",L504&gt;20000,"High",L504&gt;5000,"Medium",TRUE,"Low")</f>
        <v>Low</v>
      </c>
    </row>
    <row r="505" spans="1:18" x14ac:dyDescent="0.3">
      <c r="A505" t="s">
        <v>1183</v>
      </c>
      <c r="B505" s="1">
        <v>45124</v>
      </c>
      <c r="C505" t="s">
        <v>1020</v>
      </c>
      <c r="D505" t="s">
        <v>87</v>
      </c>
      <c r="E505" t="s">
        <v>26</v>
      </c>
      <c r="F505" t="s">
        <v>69</v>
      </c>
      <c r="G505" t="s">
        <v>202</v>
      </c>
      <c r="H505">
        <v>5</v>
      </c>
      <c r="I505">
        <v>1299</v>
      </c>
      <c r="J505">
        <v>25</v>
      </c>
      <c r="K505">
        <v>1623.75</v>
      </c>
      <c r="L505">
        <v>4871.25</v>
      </c>
      <c r="M505">
        <v>607.1</v>
      </c>
      <c r="N505" t="s">
        <v>99</v>
      </c>
      <c r="O505" t="s">
        <v>95</v>
      </c>
      <c r="P505" t="str">
        <f t="shared" si="14"/>
        <v>Low Value</v>
      </c>
      <c r="Q505" t="str">
        <f t="shared" si="15"/>
        <v>Low</v>
      </c>
      <c r="R505" t="str" cm="1">
        <f t="array" ref="R505">_xlfn.IFS(L505&gt;50000,"Premium",L505&gt;20000,"High",L505&gt;5000,"Medium",TRUE,"Low")</f>
        <v>Low</v>
      </c>
    </row>
    <row r="506" spans="1:18" x14ac:dyDescent="0.3">
      <c r="A506" t="s">
        <v>1184</v>
      </c>
      <c r="B506" s="1">
        <v>45110</v>
      </c>
      <c r="C506" t="s">
        <v>418</v>
      </c>
      <c r="D506" t="s">
        <v>1175</v>
      </c>
      <c r="E506" t="s">
        <v>48</v>
      </c>
      <c r="F506" t="s">
        <v>60</v>
      </c>
      <c r="G506" t="s">
        <v>365</v>
      </c>
      <c r="H506">
        <v>4</v>
      </c>
      <c r="I506">
        <v>650</v>
      </c>
      <c r="J506">
        <v>0</v>
      </c>
      <c r="K506">
        <v>0</v>
      </c>
      <c r="L506">
        <v>2600</v>
      </c>
      <c r="M506">
        <v>260.11</v>
      </c>
      <c r="N506" t="s">
        <v>27</v>
      </c>
      <c r="O506" t="s">
        <v>95</v>
      </c>
      <c r="P506" t="str">
        <f t="shared" si="14"/>
        <v>Low Value</v>
      </c>
      <c r="Q506" t="str">
        <f t="shared" si="15"/>
        <v>Low</v>
      </c>
      <c r="R506" t="str" cm="1">
        <f t="array" ref="R506">_xlfn.IFS(L506&gt;50000,"Premium",L506&gt;20000,"High",L506&gt;5000,"Medium",TRUE,"Low")</f>
        <v>Low</v>
      </c>
    </row>
    <row r="507" spans="1:18" x14ac:dyDescent="0.3">
      <c r="A507" t="s">
        <v>1185</v>
      </c>
      <c r="B507" s="1">
        <v>45234</v>
      </c>
      <c r="C507" t="s">
        <v>1186</v>
      </c>
      <c r="D507" t="s">
        <v>411</v>
      </c>
      <c r="E507" t="s">
        <v>26</v>
      </c>
      <c r="F507" t="s">
        <v>39</v>
      </c>
      <c r="G507" t="s">
        <v>126</v>
      </c>
      <c r="H507">
        <v>3</v>
      </c>
      <c r="I507">
        <v>4200</v>
      </c>
      <c r="J507">
        <v>20</v>
      </c>
      <c r="K507">
        <v>2520</v>
      </c>
      <c r="L507">
        <v>10080</v>
      </c>
      <c r="M507">
        <v>3502.18</v>
      </c>
      <c r="N507" t="s">
        <v>34</v>
      </c>
      <c r="O507" t="s">
        <v>95</v>
      </c>
      <c r="P507" t="str">
        <f t="shared" si="14"/>
        <v>Low Value</v>
      </c>
      <c r="Q507" t="str">
        <f t="shared" si="15"/>
        <v>Medium</v>
      </c>
      <c r="R507" t="str" cm="1">
        <f t="array" ref="R507">_xlfn.IFS(L507&gt;50000,"Premium",L507&gt;20000,"High",L507&gt;5000,"Medium",TRUE,"Low")</f>
        <v>Medium</v>
      </c>
    </row>
    <row r="508" spans="1:18" x14ac:dyDescent="0.3">
      <c r="A508" t="s">
        <v>1187</v>
      </c>
      <c r="B508" s="1">
        <v>45050</v>
      </c>
      <c r="C508" t="s">
        <v>1188</v>
      </c>
      <c r="D508" t="s">
        <v>174</v>
      </c>
      <c r="E508" t="s">
        <v>54</v>
      </c>
      <c r="F508" t="s">
        <v>74</v>
      </c>
      <c r="G508" t="s">
        <v>144</v>
      </c>
      <c r="H508">
        <v>2</v>
      </c>
      <c r="I508">
        <v>1500</v>
      </c>
      <c r="J508">
        <v>15</v>
      </c>
      <c r="K508">
        <v>450</v>
      </c>
      <c r="L508">
        <v>2550</v>
      </c>
      <c r="M508">
        <v>713.27</v>
      </c>
      <c r="N508" t="s">
        <v>41</v>
      </c>
      <c r="O508" t="s">
        <v>22</v>
      </c>
      <c r="P508" t="str">
        <f t="shared" si="14"/>
        <v>Low Value</v>
      </c>
      <c r="Q508" t="str">
        <f t="shared" si="15"/>
        <v>Low</v>
      </c>
      <c r="R508" t="str" cm="1">
        <f t="array" ref="R508">_xlfn.IFS(L508&gt;50000,"Premium",L508&gt;20000,"High",L508&gt;5000,"Medium",TRUE,"Low")</f>
        <v>Low</v>
      </c>
    </row>
    <row r="509" spans="1:18" x14ac:dyDescent="0.3">
      <c r="A509" t="s">
        <v>1189</v>
      </c>
      <c r="B509" s="1">
        <v>44927</v>
      </c>
      <c r="C509" t="s">
        <v>766</v>
      </c>
      <c r="D509" t="s">
        <v>794</v>
      </c>
      <c r="E509" t="s">
        <v>78</v>
      </c>
      <c r="F509" t="s">
        <v>60</v>
      </c>
      <c r="G509" t="s">
        <v>291</v>
      </c>
      <c r="H509">
        <v>3</v>
      </c>
      <c r="I509">
        <v>450</v>
      </c>
      <c r="J509">
        <v>20</v>
      </c>
      <c r="K509">
        <v>270</v>
      </c>
      <c r="L509">
        <v>1080</v>
      </c>
      <c r="M509">
        <v>59.28</v>
      </c>
      <c r="N509" t="s">
        <v>27</v>
      </c>
      <c r="O509" t="s">
        <v>35</v>
      </c>
      <c r="P509" t="str">
        <f t="shared" si="14"/>
        <v>Low Value</v>
      </c>
      <c r="Q509" t="str">
        <f t="shared" si="15"/>
        <v>Low</v>
      </c>
      <c r="R509" t="str" cm="1">
        <f t="array" ref="R509">_xlfn.IFS(L509&gt;50000,"Premium",L509&gt;20000,"High",L509&gt;5000,"Medium",TRUE,"Low")</f>
        <v>Low</v>
      </c>
    </row>
    <row r="510" spans="1:18" x14ac:dyDescent="0.3">
      <c r="A510" t="s">
        <v>1190</v>
      </c>
      <c r="B510" s="1">
        <v>45088</v>
      </c>
      <c r="C510" t="s">
        <v>457</v>
      </c>
      <c r="D510" t="s">
        <v>1069</v>
      </c>
      <c r="E510" t="s">
        <v>18</v>
      </c>
      <c r="F510" t="s">
        <v>19</v>
      </c>
      <c r="G510" t="s">
        <v>107</v>
      </c>
      <c r="H510">
        <v>3</v>
      </c>
      <c r="I510">
        <v>4500</v>
      </c>
      <c r="J510">
        <v>20</v>
      </c>
      <c r="K510">
        <v>2700</v>
      </c>
      <c r="L510">
        <v>10800</v>
      </c>
      <c r="M510">
        <v>2196.52</v>
      </c>
      <c r="N510" t="s">
        <v>99</v>
      </c>
      <c r="O510" t="s">
        <v>22</v>
      </c>
      <c r="P510" t="str">
        <f t="shared" si="14"/>
        <v>Low Value</v>
      </c>
      <c r="Q510" t="str">
        <f t="shared" si="15"/>
        <v>Medium</v>
      </c>
      <c r="R510" t="str" cm="1">
        <f t="array" ref="R510">_xlfn.IFS(L510&gt;50000,"Premium",L510&gt;20000,"High",L510&gt;5000,"Medium",TRUE,"Low")</f>
        <v>Medium</v>
      </c>
    </row>
    <row r="511" spans="1:18" x14ac:dyDescent="0.3">
      <c r="A511" t="s">
        <v>1191</v>
      </c>
      <c r="B511" s="1">
        <v>45109</v>
      </c>
      <c r="C511" t="s">
        <v>525</v>
      </c>
      <c r="D511" t="s">
        <v>586</v>
      </c>
      <c r="E511" t="s">
        <v>78</v>
      </c>
      <c r="F511" t="s">
        <v>69</v>
      </c>
      <c r="G511" t="s">
        <v>202</v>
      </c>
      <c r="H511">
        <v>3</v>
      </c>
      <c r="I511">
        <v>1299</v>
      </c>
      <c r="J511">
        <v>10</v>
      </c>
      <c r="K511">
        <v>389.7</v>
      </c>
      <c r="L511">
        <v>3507.3</v>
      </c>
      <c r="M511">
        <v>1111.42</v>
      </c>
      <c r="N511" t="s">
        <v>99</v>
      </c>
      <c r="O511" t="s">
        <v>95</v>
      </c>
      <c r="P511" t="str">
        <f t="shared" si="14"/>
        <v>Low Value</v>
      </c>
      <c r="Q511" t="str">
        <f t="shared" si="15"/>
        <v>Low</v>
      </c>
      <c r="R511" t="str" cm="1">
        <f t="array" ref="R511">_xlfn.IFS(L511&gt;50000,"Premium",L511&gt;20000,"High",L511&gt;5000,"Medium",TRUE,"Low")</f>
        <v>Low</v>
      </c>
    </row>
    <row r="512" spans="1:18" x14ac:dyDescent="0.3">
      <c r="A512" t="s">
        <v>1192</v>
      </c>
      <c r="B512" s="1">
        <v>45131</v>
      </c>
      <c r="C512" t="s">
        <v>994</v>
      </c>
      <c r="D512" t="s">
        <v>1093</v>
      </c>
      <c r="E512" t="s">
        <v>18</v>
      </c>
      <c r="F512" t="s">
        <v>74</v>
      </c>
      <c r="G512" t="s">
        <v>381</v>
      </c>
      <c r="H512">
        <v>1</v>
      </c>
      <c r="I512">
        <v>800</v>
      </c>
      <c r="J512">
        <v>25</v>
      </c>
      <c r="K512">
        <v>200</v>
      </c>
      <c r="L512">
        <v>600</v>
      </c>
      <c r="M512">
        <v>88.44</v>
      </c>
      <c r="N512" t="s">
        <v>21</v>
      </c>
      <c r="O512" t="s">
        <v>35</v>
      </c>
      <c r="P512" t="str">
        <f t="shared" si="14"/>
        <v>Low Value</v>
      </c>
      <c r="Q512" t="str">
        <f t="shared" si="15"/>
        <v>Low</v>
      </c>
      <c r="R512" t="str" cm="1">
        <f t="array" ref="R512">_xlfn.IFS(L512&gt;50000,"Premium",L512&gt;20000,"High",L512&gt;5000,"Medium",TRUE,"Low")</f>
        <v>Low</v>
      </c>
    </row>
    <row r="513" spans="1:18" x14ac:dyDescent="0.3">
      <c r="A513" t="s">
        <v>1193</v>
      </c>
      <c r="B513" s="1">
        <v>44946</v>
      </c>
      <c r="C513" t="s">
        <v>1194</v>
      </c>
      <c r="D513" t="s">
        <v>1120</v>
      </c>
      <c r="E513" t="s">
        <v>26</v>
      </c>
      <c r="F513" t="s">
        <v>60</v>
      </c>
      <c r="G513" t="s">
        <v>349</v>
      </c>
      <c r="H513">
        <v>5</v>
      </c>
      <c r="I513">
        <v>250</v>
      </c>
      <c r="J513">
        <v>15</v>
      </c>
      <c r="K513">
        <v>187.5</v>
      </c>
      <c r="L513">
        <v>1062.5</v>
      </c>
      <c r="M513">
        <v>78.14</v>
      </c>
      <c r="N513" t="s">
        <v>41</v>
      </c>
      <c r="O513" t="s">
        <v>35</v>
      </c>
      <c r="P513" t="str">
        <f t="shared" si="14"/>
        <v>Low Value</v>
      </c>
      <c r="Q513" t="str">
        <f t="shared" si="15"/>
        <v>Low</v>
      </c>
      <c r="R513" t="str" cm="1">
        <f t="array" ref="R513">_xlfn.IFS(L513&gt;50000,"Premium",L513&gt;20000,"High",L513&gt;5000,"Medium",TRUE,"Low")</f>
        <v>Low</v>
      </c>
    </row>
    <row r="514" spans="1:18" x14ac:dyDescent="0.3">
      <c r="A514" t="s">
        <v>1195</v>
      </c>
      <c r="B514" s="1">
        <v>45043</v>
      </c>
      <c r="C514" t="s">
        <v>1196</v>
      </c>
      <c r="D514" t="s">
        <v>1197</v>
      </c>
      <c r="E514" t="s">
        <v>78</v>
      </c>
      <c r="F514" t="s">
        <v>60</v>
      </c>
      <c r="G514" t="s">
        <v>115</v>
      </c>
      <c r="H514">
        <v>5</v>
      </c>
      <c r="I514">
        <v>1800</v>
      </c>
      <c r="J514">
        <v>0</v>
      </c>
      <c r="K514">
        <v>0</v>
      </c>
      <c r="L514">
        <v>9000</v>
      </c>
      <c r="M514">
        <v>2161.5</v>
      </c>
      <c r="N514" t="s">
        <v>21</v>
      </c>
      <c r="O514" t="s">
        <v>35</v>
      </c>
      <c r="P514" t="str">
        <f t="shared" si="14"/>
        <v>Low Value</v>
      </c>
      <c r="Q514" t="str">
        <f t="shared" si="15"/>
        <v>Medium</v>
      </c>
      <c r="R514" t="str" cm="1">
        <f t="array" ref="R514">_xlfn.IFS(L514&gt;50000,"Premium",L514&gt;20000,"High",L514&gt;5000,"Medium",TRUE,"Low")</f>
        <v>Medium</v>
      </c>
    </row>
    <row r="515" spans="1:18" x14ac:dyDescent="0.3">
      <c r="A515" t="s">
        <v>1198</v>
      </c>
      <c r="B515" s="1">
        <v>45090</v>
      </c>
      <c r="C515" t="s">
        <v>725</v>
      </c>
      <c r="D515" t="s">
        <v>1156</v>
      </c>
      <c r="E515" t="s">
        <v>26</v>
      </c>
      <c r="F515" t="s">
        <v>74</v>
      </c>
      <c r="G515" t="s">
        <v>144</v>
      </c>
      <c r="H515">
        <v>2</v>
      </c>
      <c r="I515">
        <v>1500</v>
      </c>
      <c r="J515">
        <v>10</v>
      </c>
      <c r="K515">
        <v>300</v>
      </c>
      <c r="L515">
        <v>2700</v>
      </c>
      <c r="M515">
        <v>541.95000000000005</v>
      </c>
      <c r="N515" t="s">
        <v>41</v>
      </c>
      <c r="O515" t="s">
        <v>95</v>
      </c>
      <c r="P515" t="str">
        <f t="shared" ref="P515:P578" si="16">IF(L515&gt;20000,"High Value","Low Value")</f>
        <v>Low Value</v>
      </c>
      <c r="Q515" t="str">
        <f t="shared" ref="Q515:Q578" si="17">IF(L515&gt;50000,"Premium",IF(L515&gt;20000,"High",IF(L515&gt;5000,"Medium","Low")))</f>
        <v>Low</v>
      </c>
      <c r="R515" t="str" cm="1">
        <f t="array" ref="R515">_xlfn.IFS(L515&gt;50000,"Premium",L515&gt;20000,"High",L515&gt;5000,"Medium",TRUE,"Low")</f>
        <v>Low</v>
      </c>
    </row>
    <row r="516" spans="1:18" x14ac:dyDescent="0.3">
      <c r="A516" t="s">
        <v>1199</v>
      </c>
      <c r="B516" s="1">
        <v>45221</v>
      </c>
      <c r="C516" t="s">
        <v>565</v>
      </c>
      <c r="D516" t="s">
        <v>1200</v>
      </c>
      <c r="E516" t="s">
        <v>48</v>
      </c>
      <c r="F516" t="s">
        <v>74</v>
      </c>
      <c r="G516" t="s">
        <v>137</v>
      </c>
      <c r="H516">
        <v>2</v>
      </c>
      <c r="I516">
        <v>2500</v>
      </c>
      <c r="J516">
        <v>15</v>
      </c>
      <c r="K516">
        <v>750</v>
      </c>
      <c r="L516">
        <v>4250</v>
      </c>
      <c r="M516">
        <v>581.97</v>
      </c>
      <c r="N516" t="s">
        <v>99</v>
      </c>
      <c r="O516" t="s">
        <v>22</v>
      </c>
      <c r="P516" t="str">
        <f t="shared" si="16"/>
        <v>Low Value</v>
      </c>
      <c r="Q516" t="str">
        <f t="shared" si="17"/>
        <v>Low</v>
      </c>
      <c r="R516" t="str" cm="1">
        <f t="array" ref="R516">_xlfn.IFS(L516&gt;50000,"Premium",L516&gt;20000,"High",L516&gt;5000,"Medium",TRUE,"Low")</f>
        <v>Low</v>
      </c>
    </row>
    <row r="517" spans="1:18" x14ac:dyDescent="0.3">
      <c r="A517" t="s">
        <v>1201</v>
      </c>
      <c r="B517" s="1">
        <v>45219</v>
      </c>
      <c r="C517" t="s">
        <v>1108</v>
      </c>
      <c r="D517" t="s">
        <v>803</v>
      </c>
      <c r="E517" t="s">
        <v>83</v>
      </c>
      <c r="F517" t="s">
        <v>60</v>
      </c>
      <c r="G517" t="s">
        <v>291</v>
      </c>
      <c r="H517">
        <v>5</v>
      </c>
      <c r="I517">
        <v>450</v>
      </c>
      <c r="J517">
        <v>15</v>
      </c>
      <c r="K517">
        <v>337.5</v>
      </c>
      <c r="L517">
        <v>1912.5</v>
      </c>
      <c r="M517">
        <v>246.27</v>
      </c>
      <c r="N517" t="s">
        <v>27</v>
      </c>
      <c r="O517" t="s">
        <v>22</v>
      </c>
      <c r="P517" t="str">
        <f t="shared" si="16"/>
        <v>Low Value</v>
      </c>
      <c r="Q517" t="str">
        <f t="shared" si="17"/>
        <v>Low</v>
      </c>
      <c r="R517" t="str" cm="1">
        <f t="array" ref="R517">_xlfn.IFS(L517&gt;50000,"Premium",L517&gt;20000,"High",L517&gt;5000,"Medium",TRUE,"Low")</f>
        <v>Low</v>
      </c>
    </row>
    <row r="518" spans="1:18" x14ac:dyDescent="0.3">
      <c r="A518" t="s">
        <v>1202</v>
      </c>
      <c r="B518" s="1">
        <v>45213</v>
      </c>
      <c r="C518" t="s">
        <v>156</v>
      </c>
      <c r="D518" t="s">
        <v>491</v>
      </c>
      <c r="E518" t="s">
        <v>31</v>
      </c>
      <c r="F518" t="s">
        <v>69</v>
      </c>
      <c r="G518" t="s">
        <v>119</v>
      </c>
      <c r="H518">
        <v>4</v>
      </c>
      <c r="I518">
        <v>2500</v>
      </c>
      <c r="J518">
        <v>25</v>
      </c>
      <c r="K518">
        <v>2500</v>
      </c>
      <c r="L518">
        <v>7500</v>
      </c>
      <c r="M518">
        <v>1660.49</v>
      </c>
      <c r="N518" t="s">
        <v>27</v>
      </c>
      <c r="O518" t="s">
        <v>35</v>
      </c>
      <c r="P518" t="str">
        <f t="shared" si="16"/>
        <v>Low Value</v>
      </c>
      <c r="Q518" t="str">
        <f t="shared" si="17"/>
        <v>Medium</v>
      </c>
      <c r="R518" t="str" cm="1">
        <f t="array" ref="R518">_xlfn.IFS(L518&gt;50000,"Premium",L518&gt;20000,"High",L518&gt;5000,"Medium",TRUE,"Low")</f>
        <v>Medium</v>
      </c>
    </row>
    <row r="519" spans="1:18" x14ac:dyDescent="0.3">
      <c r="A519" t="s">
        <v>1203</v>
      </c>
      <c r="B519" s="1">
        <v>45063</v>
      </c>
      <c r="C519" t="s">
        <v>786</v>
      </c>
      <c r="D519" t="s">
        <v>596</v>
      </c>
      <c r="E519" t="s">
        <v>26</v>
      </c>
      <c r="F519" t="s">
        <v>49</v>
      </c>
      <c r="G519" t="s">
        <v>603</v>
      </c>
      <c r="H519">
        <v>3</v>
      </c>
      <c r="I519">
        <v>449</v>
      </c>
      <c r="J519">
        <v>25</v>
      </c>
      <c r="K519">
        <v>336.75</v>
      </c>
      <c r="L519">
        <v>1010.25</v>
      </c>
      <c r="M519">
        <v>330.6</v>
      </c>
      <c r="N519" t="s">
        <v>34</v>
      </c>
      <c r="O519" t="s">
        <v>35</v>
      </c>
      <c r="P519" t="str">
        <f t="shared" si="16"/>
        <v>Low Value</v>
      </c>
      <c r="Q519" t="str">
        <f t="shared" si="17"/>
        <v>Low</v>
      </c>
      <c r="R519" t="str" cm="1">
        <f t="array" ref="R519">_xlfn.IFS(L519&gt;50000,"Premium",L519&gt;20000,"High",L519&gt;5000,"Medium",TRUE,"Low")</f>
        <v>Low</v>
      </c>
    </row>
    <row r="520" spans="1:18" x14ac:dyDescent="0.3">
      <c r="A520" t="s">
        <v>1204</v>
      </c>
      <c r="B520" s="1">
        <v>45024</v>
      </c>
      <c r="C520" t="s">
        <v>782</v>
      </c>
      <c r="D520" t="s">
        <v>534</v>
      </c>
      <c r="E520" t="s">
        <v>54</v>
      </c>
      <c r="F520" t="s">
        <v>32</v>
      </c>
      <c r="G520" t="s">
        <v>309</v>
      </c>
      <c r="H520">
        <v>5</v>
      </c>
      <c r="I520">
        <v>180</v>
      </c>
      <c r="J520">
        <v>25</v>
      </c>
      <c r="K520">
        <v>225</v>
      </c>
      <c r="L520">
        <v>675</v>
      </c>
      <c r="M520">
        <v>38.65</v>
      </c>
      <c r="N520" t="s">
        <v>21</v>
      </c>
      <c r="O520" t="s">
        <v>35</v>
      </c>
      <c r="P520" t="str">
        <f t="shared" si="16"/>
        <v>Low Value</v>
      </c>
      <c r="Q520" t="str">
        <f t="shared" si="17"/>
        <v>Low</v>
      </c>
      <c r="R520" t="str" cm="1">
        <f t="array" ref="R520">_xlfn.IFS(L520&gt;50000,"Premium",L520&gt;20000,"High",L520&gt;5000,"Medium",TRUE,"Low")</f>
        <v>Low</v>
      </c>
    </row>
    <row r="521" spans="1:18" x14ac:dyDescent="0.3">
      <c r="A521" t="s">
        <v>1205</v>
      </c>
      <c r="B521" s="1">
        <v>45152</v>
      </c>
      <c r="C521" t="s">
        <v>1206</v>
      </c>
      <c r="D521" t="s">
        <v>1207</v>
      </c>
      <c r="E521" t="s">
        <v>59</v>
      </c>
      <c r="F521" t="s">
        <v>19</v>
      </c>
      <c r="G521" t="s">
        <v>107</v>
      </c>
      <c r="H521">
        <v>2</v>
      </c>
      <c r="I521">
        <v>4500</v>
      </c>
      <c r="J521">
        <v>5</v>
      </c>
      <c r="K521">
        <v>450</v>
      </c>
      <c r="L521">
        <v>8550</v>
      </c>
      <c r="M521">
        <v>2185.4499999999998</v>
      </c>
      <c r="N521" t="s">
        <v>27</v>
      </c>
      <c r="O521" t="s">
        <v>95</v>
      </c>
      <c r="P521" t="str">
        <f t="shared" si="16"/>
        <v>Low Value</v>
      </c>
      <c r="Q521" t="str">
        <f t="shared" si="17"/>
        <v>Medium</v>
      </c>
      <c r="R521" t="str" cm="1">
        <f t="array" ref="R521">_xlfn.IFS(L521&gt;50000,"Premium",L521&gt;20000,"High",L521&gt;5000,"Medium",TRUE,"Low")</f>
        <v>Medium</v>
      </c>
    </row>
    <row r="522" spans="1:18" x14ac:dyDescent="0.3">
      <c r="A522" t="s">
        <v>1208</v>
      </c>
      <c r="B522" s="1">
        <v>45002</v>
      </c>
      <c r="C522" t="s">
        <v>1209</v>
      </c>
      <c r="D522" t="s">
        <v>618</v>
      </c>
      <c r="E522" t="s">
        <v>54</v>
      </c>
      <c r="F522" t="s">
        <v>49</v>
      </c>
      <c r="G522" t="s">
        <v>753</v>
      </c>
      <c r="H522">
        <v>3</v>
      </c>
      <c r="I522">
        <v>299</v>
      </c>
      <c r="J522">
        <v>0</v>
      </c>
      <c r="K522">
        <v>0</v>
      </c>
      <c r="L522">
        <v>897</v>
      </c>
      <c r="M522">
        <v>137.22</v>
      </c>
      <c r="N522" t="s">
        <v>41</v>
      </c>
      <c r="O522" t="s">
        <v>35</v>
      </c>
      <c r="P522" t="str">
        <f t="shared" si="16"/>
        <v>Low Value</v>
      </c>
      <c r="Q522" t="str">
        <f t="shared" si="17"/>
        <v>Low</v>
      </c>
      <c r="R522" t="str" cm="1">
        <f t="array" ref="R522">_xlfn.IFS(L522&gt;50000,"Premium",L522&gt;20000,"High",L522&gt;5000,"Medium",TRUE,"Low")</f>
        <v>Low</v>
      </c>
    </row>
    <row r="523" spans="1:18" x14ac:dyDescent="0.3">
      <c r="A523" t="s">
        <v>1210</v>
      </c>
      <c r="B523" s="1">
        <v>45096</v>
      </c>
      <c r="C523" t="s">
        <v>1211</v>
      </c>
      <c r="D523" t="s">
        <v>1044</v>
      </c>
      <c r="E523" t="s">
        <v>54</v>
      </c>
      <c r="F523" t="s">
        <v>69</v>
      </c>
      <c r="G523" t="s">
        <v>70</v>
      </c>
      <c r="H523">
        <v>5</v>
      </c>
      <c r="I523">
        <v>2499</v>
      </c>
      <c r="J523">
        <v>5</v>
      </c>
      <c r="K523">
        <v>624.75</v>
      </c>
      <c r="L523">
        <v>11870.25</v>
      </c>
      <c r="M523">
        <v>1319.26</v>
      </c>
      <c r="N523" t="s">
        <v>21</v>
      </c>
      <c r="O523" t="s">
        <v>35</v>
      </c>
      <c r="P523" t="str">
        <f t="shared" si="16"/>
        <v>Low Value</v>
      </c>
      <c r="Q523" t="str">
        <f t="shared" si="17"/>
        <v>Medium</v>
      </c>
      <c r="R523" t="str" cm="1">
        <f t="array" ref="R523">_xlfn.IFS(L523&gt;50000,"Premium",L523&gt;20000,"High",L523&gt;5000,"Medium",TRUE,"Low")</f>
        <v>Medium</v>
      </c>
    </row>
    <row r="524" spans="1:18" x14ac:dyDescent="0.3">
      <c r="A524" t="s">
        <v>1212</v>
      </c>
      <c r="B524" s="1">
        <v>45282</v>
      </c>
      <c r="C524" t="s">
        <v>969</v>
      </c>
      <c r="D524" t="s">
        <v>472</v>
      </c>
      <c r="E524" t="s">
        <v>78</v>
      </c>
      <c r="F524" t="s">
        <v>60</v>
      </c>
      <c r="G524" t="s">
        <v>115</v>
      </c>
      <c r="H524">
        <v>1</v>
      </c>
      <c r="I524">
        <v>1800</v>
      </c>
      <c r="J524">
        <v>15</v>
      </c>
      <c r="K524">
        <v>270</v>
      </c>
      <c r="L524">
        <v>1530</v>
      </c>
      <c r="M524">
        <v>344.1</v>
      </c>
      <c r="N524" t="s">
        <v>27</v>
      </c>
      <c r="O524" t="s">
        <v>35</v>
      </c>
      <c r="P524" t="str">
        <f t="shared" si="16"/>
        <v>Low Value</v>
      </c>
      <c r="Q524" t="str">
        <f t="shared" si="17"/>
        <v>Low</v>
      </c>
      <c r="R524" t="str" cm="1">
        <f t="array" ref="R524">_xlfn.IFS(L524&gt;50000,"Premium",L524&gt;20000,"High",L524&gt;5000,"Medium",TRUE,"Low")</f>
        <v>Low</v>
      </c>
    </row>
    <row r="525" spans="1:18" x14ac:dyDescent="0.3">
      <c r="A525" t="s">
        <v>1213</v>
      </c>
      <c r="B525" s="1">
        <v>45072</v>
      </c>
      <c r="C525" t="s">
        <v>63</v>
      </c>
      <c r="D525" t="s">
        <v>1214</v>
      </c>
      <c r="E525" t="s">
        <v>26</v>
      </c>
      <c r="F525" t="s">
        <v>69</v>
      </c>
      <c r="G525" t="s">
        <v>111</v>
      </c>
      <c r="H525">
        <v>5</v>
      </c>
      <c r="I525">
        <v>3499</v>
      </c>
      <c r="J525">
        <v>10</v>
      </c>
      <c r="K525">
        <v>1749.5</v>
      </c>
      <c r="L525">
        <v>15745.5</v>
      </c>
      <c r="M525">
        <v>1038.03</v>
      </c>
      <c r="N525" t="s">
        <v>34</v>
      </c>
      <c r="O525" t="s">
        <v>35</v>
      </c>
      <c r="P525" t="str">
        <f t="shared" si="16"/>
        <v>Low Value</v>
      </c>
      <c r="Q525" t="str">
        <f t="shared" si="17"/>
        <v>Medium</v>
      </c>
      <c r="R525" t="str" cm="1">
        <f t="array" ref="R525">_xlfn.IFS(L525&gt;50000,"Premium",L525&gt;20000,"High",L525&gt;5000,"Medium",TRUE,"Low")</f>
        <v>Medium</v>
      </c>
    </row>
    <row r="526" spans="1:18" x14ac:dyDescent="0.3">
      <c r="A526" t="s">
        <v>1215</v>
      </c>
      <c r="B526" s="1">
        <v>44982</v>
      </c>
      <c r="C526" t="s">
        <v>1216</v>
      </c>
      <c r="D526" t="s">
        <v>1118</v>
      </c>
      <c r="E526" t="s">
        <v>54</v>
      </c>
      <c r="F526" t="s">
        <v>19</v>
      </c>
      <c r="G526" t="s">
        <v>103</v>
      </c>
      <c r="H526">
        <v>4</v>
      </c>
      <c r="I526">
        <v>3500</v>
      </c>
      <c r="J526">
        <v>5</v>
      </c>
      <c r="K526">
        <v>700</v>
      </c>
      <c r="L526">
        <v>13300</v>
      </c>
      <c r="M526">
        <v>4574.37</v>
      </c>
      <c r="N526" t="s">
        <v>21</v>
      </c>
      <c r="O526" t="s">
        <v>95</v>
      </c>
      <c r="P526" t="str">
        <f t="shared" si="16"/>
        <v>Low Value</v>
      </c>
      <c r="Q526" t="str">
        <f t="shared" si="17"/>
        <v>Medium</v>
      </c>
      <c r="R526" t="str" cm="1">
        <f t="array" ref="R526">_xlfn.IFS(L526&gt;50000,"Premium",L526&gt;20000,"High",L526&gt;5000,"Medium",TRUE,"Low")</f>
        <v>Medium</v>
      </c>
    </row>
    <row r="527" spans="1:18" x14ac:dyDescent="0.3">
      <c r="A527" t="s">
        <v>1217</v>
      </c>
      <c r="B527" s="1">
        <v>44972</v>
      </c>
      <c r="C527" t="s">
        <v>802</v>
      </c>
      <c r="D527" t="s">
        <v>348</v>
      </c>
      <c r="E527" t="s">
        <v>31</v>
      </c>
      <c r="F527" t="s">
        <v>69</v>
      </c>
      <c r="G527" t="s">
        <v>202</v>
      </c>
      <c r="H527">
        <v>5</v>
      </c>
      <c r="I527">
        <v>1299</v>
      </c>
      <c r="J527">
        <v>15</v>
      </c>
      <c r="K527">
        <v>974.25</v>
      </c>
      <c r="L527">
        <v>5520.75</v>
      </c>
      <c r="M527">
        <v>1204.6600000000001</v>
      </c>
      <c r="N527" t="s">
        <v>21</v>
      </c>
      <c r="O527" t="s">
        <v>35</v>
      </c>
      <c r="P527" t="str">
        <f t="shared" si="16"/>
        <v>Low Value</v>
      </c>
      <c r="Q527" t="str">
        <f t="shared" si="17"/>
        <v>Medium</v>
      </c>
      <c r="R527" t="str" cm="1">
        <f t="array" ref="R527">_xlfn.IFS(L527&gt;50000,"Premium",L527&gt;20000,"High",L527&gt;5000,"Medium",TRUE,"Low")</f>
        <v>Medium</v>
      </c>
    </row>
    <row r="528" spans="1:18" x14ac:dyDescent="0.3">
      <c r="A528" t="s">
        <v>1218</v>
      </c>
      <c r="B528" s="1">
        <v>45097</v>
      </c>
      <c r="C528" t="s">
        <v>363</v>
      </c>
      <c r="D528" t="s">
        <v>659</v>
      </c>
      <c r="E528" t="s">
        <v>31</v>
      </c>
      <c r="F528" t="s">
        <v>39</v>
      </c>
      <c r="G528" t="s">
        <v>219</v>
      </c>
      <c r="H528">
        <v>2</v>
      </c>
      <c r="I528">
        <v>18000</v>
      </c>
      <c r="J528">
        <v>0</v>
      </c>
      <c r="K528">
        <v>0</v>
      </c>
      <c r="L528">
        <v>36000</v>
      </c>
      <c r="M528">
        <v>5545.22</v>
      </c>
      <c r="N528" t="s">
        <v>21</v>
      </c>
      <c r="O528" t="s">
        <v>35</v>
      </c>
      <c r="P528" t="str">
        <f t="shared" si="16"/>
        <v>High Value</v>
      </c>
      <c r="Q528" t="str">
        <f t="shared" si="17"/>
        <v>High</v>
      </c>
      <c r="R528" t="str" cm="1">
        <f t="array" ref="R528">_xlfn.IFS(L528&gt;50000,"Premium",L528&gt;20000,"High",L528&gt;5000,"Medium",TRUE,"Low")</f>
        <v>High</v>
      </c>
    </row>
    <row r="529" spans="1:18" x14ac:dyDescent="0.3">
      <c r="A529" t="s">
        <v>1219</v>
      </c>
      <c r="B529" s="1">
        <v>44958</v>
      </c>
      <c r="C529" t="s">
        <v>181</v>
      </c>
      <c r="D529" t="s">
        <v>882</v>
      </c>
      <c r="E529" t="s">
        <v>83</v>
      </c>
      <c r="F529" t="s">
        <v>60</v>
      </c>
      <c r="G529" t="s">
        <v>141</v>
      </c>
      <c r="H529">
        <v>4</v>
      </c>
      <c r="I529">
        <v>350</v>
      </c>
      <c r="J529">
        <v>0</v>
      </c>
      <c r="K529">
        <v>0</v>
      </c>
      <c r="L529">
        <v>1400</v>
      </c>
      <c r="M529">
        <v>466.54</v>
      </c>
      <c r="N529" t="s">
        <v>34</v>
      </c>
      <c r="O529" t="s">
        <v>22</v>
      </c>
      <c r="P529" t="str">
        <f t="shared" si="16"/>
        <v>Low Value</v>
      </c>
      <c r="Q529" t="str">
        <f t="shared" si="17"/>
        <v>Low</v>
      </c>
      <c r="R529" t="str" cm="1">
        <f t="array" ref="R529">_xlfn.IFS(L529&gt;50000,"Premium",L529&gt;20000,"High",L529&gt;5000,"Medium",TRUE,"Low")</f>
        <v>Low</v>
      </c>
    </row>
    <row r="530" spans="1:18" x14ac:dyDescent="0.3">
      <c r="A530" t="s">
        <v>1220</v>
      </c>
      <c r="B530" s="1">
        <v>45263</v>
      </c>
      <c r="C530" t="s">
        <v>146</v>
      </c>
      <c r="D530" t="s">
        <v>783</v>
      </c>
      <c r="E530" t="s">
        <v>31</v>
      </c>
      <c r="F530" t="s">
        <v>69</v>
      </c>
      <c r="G530" t="s">
        <v>505</v>
      </c>
      <c r="H530">
        <v>4</v>
      </c>
      <c r="I530">
        <v>499</v>
      </c>
      <c r="J530">
        <v>20</v>
      </c>
      <c r="K530">
        <v>399.2</v>
      </c>
      <c r="L530">
        <v>1596.8</v>
      </c>
      <c r="M530">
        <v>540.01</v>
      </c>
      <c r="N530" t="s">
        <v>21</v>
      </c>
      <c r="O530" t="s">
        <v>35</v>
      </c>
      <c r="P530" t="str">
        <f t="shared" si="16"/>
        <v>Low Value</v>
      </c>
      <c r="Q530" t="str">
        <f t="shared" si="17"/>
        <v>Low</v>
      </c>
      <c r="R530" t="str" cm="1">
        <f t="array" ref="R530">_xlfn.IFS(L530&gt;50000,"Premium",L530&gt;20000,"High",L530&gt;5000,"Medium",TRUE,"Low")</f>
        <v>Low</v>
      </c>
    </row>
    <row r="531" spans="1:18" x14ac:dyDescent="0.3">
      <c r="A531" t="s">
        <v>1221</v>
      </c>
      <c r="B531" s="1">
        <v>45145</v>
      </c>
      <c r="C531" t="s">
        <v>1222</v>
      </c>
      <c r="D531" t="s">
        <v>419</v>
      </c>
      <c r="E531" t="s">
        <v>31</v>
      </c>
      <c r="F531" t="s">
        <v>32</v>
      </c>
      <c r="G531" t="s">
        <v>361</v>
      </c>
      <c r="H531">
        <v>3</v>
      </c>
      <c r="I531">
        <v>90</v>
      </c>
      <c r="J531">
        <v>15</v>
      </c>
      <c r="K531">
        <v>40.5</v>
      </c>
      <c r="L531">
        <v>229.5</v>
      </c>
      <c r="M531">
        <v>48.81</v>
      </c>
      <c r="N531" t="s">
        <v>27</v>
      </c>
      <c r="O531" t="s">
        <v>35</v>
      </c>
      <c r="P531" t="str">
        <f t="shared" si="16"/>
        <v>Low Value</v>
      </c>
      <c r="Q531" t="str">
        <f t="shared" si="17"/>
        <v>Low</v>
      </c>
      <c r="R531" t="str" cm="1">
        <f t="array" ref="R531">_xlfn.IFS(L531&gt;50000,"Premium",L531&gt;20000,"High",L531&gt;5000,"Medium",TRUE,"Low")</f>
        <v>Low</v>
      </c>
    </row>
    <row r="532" spans="1:18" x14ac:dyDescent="0.3">
      <c r="A532" t="s">
        <v>1223</v>
      </c>
      <c r="B532" s="1">
        <v>45279</v>
      </c>
      <c r="C532" t="s">
        <v>1224</v>
      </c>
      <c r="D532" t="s">
        <v>419</v>
      </c>
      <c r="E532" t="s">
        <v>83</v>
      </c>
      <c r="F532" t="s">
        <v>60</v>
      </c>
      <c r="G532" t="s">
        <v>61</v>
      </c>
      <c r="H532">
        <v>2</v>
      </c>
      <c r="I532">
        <v>850</v>
      </c>
      <c r="J532">
        <v>15</v>
      </c>
      <c r="K532">
        <v>255</v>
      </c>
      <c r="L532">
        <v>1445</v>
      </c>
      <c r="M532">
        <v>503.88</v>
      </c>
      <c r="N532" t="s">
        <v>34</v>
      </c>
      <c r="O532" t="s">
        <v>35</v>
      </c>
      <c r="P532" t="str">
        <f t="shared" si="16"/>
        <v>Low Value</v>
      </c>
      <c r="Q532" t="str">
        <f t="shared" si="17"/>
        <v>Low</v>
      </c>
      <c r="R532" t="str" cm="1">
        <f t="array" ref="R532">_xlfn.IFS(L532&gt;50000,"Premium",L532&gt;20000,"High",L532&gt;5000,"Medium",TRUE,"Low")</f>
        <v>Low</v>
      </c>
    </row>
    <row r="533" spans="1:18" x14ac:dyDescent="0.3">
      <c r="A533" t="s">
        <v>1225</v>
      </c>
      <c r="B533" s="1">
        <v>45212</v>
      </c>
      <c r="C533" t="s">
        <v>261</v>
      </c>
      <c r="D533" t="s">
        <v>393</v>
      </c>
      <c r="E533" t="s">
        <v>48</v>
      </c>
      <c r="F533" t="s">
        <v>74</v>
      </c>
      <c r="G533" t="s">
        <v>192</v>
      </c>
      <c r="H533">
        <v>1</v>
      </c>
      <c r="I533">
        <v>12000</v>
      </c>
      <c r="J533">
        <v>5</v>
      </c>
      <c r="K533">
        <v>600</v>
      </c>
      <c r="L533">
        <v>11400</v>
      </c>
      <c r="M533">
        <v>1656.18</v>
      </c>
      <c r="N533" t="s">
        <v>41</v>
      </c>
      <c r="O533" t="s">
        <v>22</v>
      </c>
      <c r="P533" t="str">
        <f t="shared" si="16"/>
        <v>Low Value</v>
      </c>
      <c r="Q533" t="str">
        <f t="shared" si="17"/>
        <v>Medium</v>
      </c>
      <c r="R533" t="str" cm="1">
        <f t="array" ref="R533">_xlfn.IFS(L533&gt;50000,"Premium",L533&gt;20000,"High",L533&gt;5000,"Medium",TRUE,"Low")</f>
        <v>Medium</v>
      </c>
    </row>
    <row r="534" spans="1:18" x14ac:dyDescent="0.3">
      <c r="A534" t="s">
        <v>1226</v>
      </c>
      <c r="B534" s="1">
        <v>45082</v>
      </c>
      <c r="C534" t="s">
        <v>1227</v>
      </c>
      <c r="D534" t="s">
        <v>858</v>
      </c>
      <c r="E534" t="s">
        <v>59</v>
      </c>
      <c r="F534" t="s">
        <v>39</v>
      </c>
      <c r="G534" t="s">
        <v>213</v>
      </c>
      <c r="H534">
        <v>3</v>
      </c>
      <c r="I534">
        <v>15000</v>
      </c>
      <c r="J534">
        <v>5</v>
      </c>
      <c r="K534">
        <v>2250</v>
      </c>
      <c r="L534">
        <v>42750</v>
      </c>
      <c r="M534">
        <v>12129.56</v>
      </c>
      <c r="N534" t="s">
        <v>21</v>
      </c>
      <c r="O534" t="s">
        <v>95</v>
      </c>
      <c r="P534" t="str">
        <f t="shared" si="16"/>
        <v>High Value</v>
      </c>
      <c r="Q534" t="str">
        <f t="shared" si="17"/>
        <v>High</v>
      </c>
      <c r="R534" t="str" cm="1">
        <f t="array" ref="R534">_xlfn.IFS(L534&gt;50000,"Premium",L534&gt;20000,"High",L534&gt;5000,"Medium",TRUE,"Low")</f>
        <v>High</v>
      </c>
    </row>
    <row r="535" spans="1:18" x14ac:dyDescent="0.3">
      <c r="A535" t="s">
        <v>1228</v>
      </c>
      <c r="B535" s="1">
        <v>45063</v>
      </c>
      <c r="C535" t="s">
        <v>269</v>
      </c>
      <c r="D535" t="s">
        <v>1229</v>
      </c>
      <c r="E535" t="s">
        <v>18</v>
      </c>
      <c r="F535" t="s">
        <v>74</v>
      </c>
      <c r="G535" t="s">
        <v>144</v>
      </c>
      <c r="H535">
        <v>5</v>
      </c>
      <c r="I535">
        <v>1500</v>
      </c>
      <c r="J535">
        <v>5</v>
      </c>
      <c r="K535">
        <v>375</v>
      </c>
      <c r="L535">
        <v>7125</v>
      </c>
      <c r="M535">
        <v>1630.97</v>
      </c>
      <c r="N535" t="s">
        <v>41</v>
      </c>
      <c r="O535" t="s">
        <v>35</v>
      </c>
      <c r="P535" t="str">
        <f t="shared" si="16"/>
        <v>Low Value</v>
      </c>
      <c r="Q535" t="str">
        <f t="shared" si="17"/>
        <v>Medium</v>
      </c>
      <c r="R535" t="str" cm="1">
        <f t="array" ref="R535">_xlfn.IFS(L535&gt;50000,"Premium",L535&gt;20000,"High",L535&gt;5000,"Medium",TRUE,"Low")</f>
        <v>Medium</v>
      </c>
    </row>
    <row r="536" spans="1:18" x14ac:dyDescent="0.3">
      <c r="A536" t="s">
        <v>1230</v>
      </c>
      <c r="B536" s="1">
        <v>45184</v>
      </c>
      <c r="C536" t="s">
        <v>650</v>
      </c>
      <c r="D536" t="s">
        <v>358</v>
      </c>
      <c r="E536" t="s">
        <v>54</v>
      </c>
      <c r="F536" t="s">
        <v>49</v>
      </c>
      <c r="G536" t="s">
        <v>331</v>
      </c>
      <c r="H536">
        <v>4</v>
      </c>
      <c r="I536">
        <v>699</v>
      </c>
      <c r="J536">
        <v>25</v>
      </c>
      <c r="K536">
        <v>699</v>
      </c>
      <c r="L536">
        <v>2097</v>
      </c>
      <c r="M536">
        <v>513.49</v>
      </c>
      <c r="N536" t="s">
        <v>27</v>
      </c>
      <c r="O536" t="s">
        <v>35</v>
      </c>
      <c r="P536" t="str">
        <f t="shared" si="16"/>
        <v>Low Value</v>
      </c>
      <c r="Q536" t="str">
        <f t="shared" si="17"/>
        <v>Low</v>
      </c>
      <c r="R536" t="str" cm="1">
        <f t="array" ref="R536">_xlfn.IFS(L536&gt;50000,"Premium",L536&gt;20000,"High",L536&gt;5000,"Medium",TRUE,"Low")</f>
        <v>Low</v>
      </c>
    </row>
    <row r="537" spans="1:18" x14ac:dyDescent="0.3">
      <c r="A537" t="s">
        <v>1231</v>
      </c>
      <c r="B537" s="1">
        <v>45025</v>
      </c>
      <c r="C537" t="s">
        <v>380</v>
      </c>
      <c r="D537" t="s">
        <v>168</v>
      </c>
      <c r="E537" t="s">
        <v>31</v>
      </c>
      <c r="F537" t="s">
        <v>69</v>
      </c>
      <c r="G537" t="s">
        <v>505</v>
      </c>
      <c r="H537">
        <v>4</v>
      </c>
      <c r="I537">
        <v>499</v>
      </c>
      <c r="J537">
        <v>0</v>
      </c>
      <c r="K537">
        <v>0</v>
      </c>
      <c r="L537">
        <v>1996</v>
      </c>
      <c r="M537">
        <v>653.95000000000005</v>
      </c>
      <c r="N537" t="s">
        <v>27</v>
      </c>
      <c r="O537" t="s">
        <v>35</v>
      </c>
      <c r="P537" t="str">
        <f t="shared" si="16"/>
        <v>Low Value</v>
      </c>
      <c r="Q537" t="str">
        <f t="shared" si="17"/>
        <v>Low</v>
      </c>
      <c r="R537" t="str" cm="1">
        <f t="array" ref="R537">_xlfn.IFS(L537&gt;50000,"Premium",L537&gt;20000,"High",L537&gt;5000,"Medium",TRUE,"Low")</f>
        <v>Low</v>
      </c>
    </row>
    <row r="538" spans="1:18" x14ac:dyDescent="0.3">
      <c r="A538" t="s">
        <v>1232</v>
      </c>
      <c r="B538" s="1">
        <v>45017</v>
      </c>
      <c r="C538" t="s">
        <v>1233</v>
      </c>
      <c r="D538" t="s">
        <v>478</v>
      </c>
      <c r="E538" t="s">
        <v>26</v>
      </c>
      <c r="F538" t="s">
        <v>39</v>
      </c>
      <c r="G538" t="s">
        <v>209</v>
      </c>
      <c r="H538">
        <v>5</v>
      </c>
      <c r="I538">
        <v>3200</v>
      </c>
      <c r="J538">
        <v>15</v>
      </c>
      <c r="K538">
        <v>2400</v>
      </c>
      <c r="L538">
        <v>13600</v>
      </c>
      <c r="M538">
        <v>3486.48</v>
      </c>
      <c r="N538" t="s">
        <v>41</v>
      </c>
      <c r="O538" t="s">
        <v>35</v>
      </c>
      <c r="P538" t="str">
        <f t="shared" si="16"/>
        <v>Low Value</v>
      </c>
      <c r="Q538" t="str">
        <f t="shared" si="17"/>
        <v>Medium</v>
      </c>
      <c r="R538" t="str" cm="1">
        <f t="array" ref="R538">_xlfn.IFS(L538&gt;50000,"Premium",L538&gt;20000,"High",L538&gt;5000,"Medium",TRUE,"Low")</f>
        <v>Medium</v>
      </c>
    </row>
    <row r="539" spans="1:18" x14ac:dyDescent="0.3">
      <c r="A539" t="s">
        <v>1234</v>
      </c>
      <c r="B539" s="1">
        <v>45238</v>
      </c>
      <c r="C539" t="s">
        <v>146</v>
      </c>
      <c r="D539" t="s">
        <v>888</v>
      </c>
      <c r="E539" t="s">
        <v>59</v>
      </c>
      <c r="F539" t="s">
        <v>60</v>
      </c>
      <c r="G539" t="s">
        <v>349</v>
      </c>
      <c r="H539">
        <v>4</v>
      </c>
      <c r="I539">
        <v>250</v>
      </c>
      <c r="J539">
        <v>25</v>
      </c>
      <c r="K539">
        <v>250</v>
      </c>
      <c r="L539">
        <v>750</v>
      </c>
      <c r="M539">
        <v>107.9</v>
      </c>
      <c r="N539" t="s">
        <v>21</v>
      </c>
      <c r="O539" t="s">
        <v>35</v>
      </c>
      <c r="P539" t="str">
        <f t="shared" si="16"/>
        <v>Low Value</v>
      </c>
      <c r="Q539" t="str">
        <f t="shared" si="17"/>
        <v>Low</v>
      </c>
      <c r="R539" t="str" cm="1">
        <f t="array" ref="R539">_xlfn.IFS(L539&gt;50000,"Premium",L539&gt;20000,"High",L539&gt;5000,"Medium",TRUE,"Low")</f>
        <v>Low</v>
      </c>
    </row>
    <row r="540" spans="1:18" x14ac:dyDescent="0.3">
      <c r="A540" t="s">
        <v>1235</v>
      </c>
      <c r="B540" s="1">
        <v>45158</v>
      </c>
      <c r="C540" t="s">
        <v>1236</v>
      </c>
      <c r="D540" t="s">
        <v>1237</v>
      </c>
      <c r="E540" t="s">
        <v>26</v>
      </c>
      <c r="F540" t="s">
        <v>39</v>
      </c>
      <c r="G540" t="s">
        <v>209</v>
      </c>
      <c r="H540">
        <v>1</v>
      </c>
      <c r="I540">
        <v>3200</v>
      </c>
      <c r="J540">
        <v>5</v>
      </c>
      <c r="K540">
        <v>160</v>
      </c>
      <c r="L540">
        <v>3040</v>
      </c>
      <c r="M540">
        <v>625.05999999999995</v>
      </c>
      <c r="N540" t="s">
        <v>21</v>
      </c>
      <c r="O540" t="s">
        <v>35</v>
      </c>
      <c r="P540" t="str">
        <f t="shared" si="16"/>
        <v>Low Value</v>
      </c>
      <c r="Q540" t="str">
        <f t="shared" si="17"/>
        <v>Low</v>
      </c>
      <c r="R540" t="str" cm="1">
        <f t="array" ref="R540">_xlfn.IFS(L540&gt;50000,"Premium",L540&gt;20000,"High",L540&gt;5000,"Medium",TRUE,"Low")</f>
        <v>Low</v>
      </c>
    </row>
    <row r="541" spans="1:18" x14ac:dyDescent="0.3">
      <c r="A541" t="s">
        <v>1238</v>
      </c>
      <c r="B541" s="1">
        <v>45024</v>
      </c>
      <c r="C541" t="s">
        <v>488</v>
      </c>
      <c r="D541" t="s">
        <v>1009</v>
      </c>
      <c r="E541" t="s">
        <v>26</v>
      </c>
      <c r="F541" t="s">
        <v>32</v>
      </c>
      <c r="G541" t="s">
        <v>259</v>
      </c>
      <c r="H541">
        <v>4</v>
      </c>
      <c r="I541">
        <v>450</v>
      </c>
      <c r="J541">
        <v>10</v>
      </c>
      <c r="K541">
        <v>180</v>
      </c>
      <c r="L541">
        <v>1620</v>
      </c>
      <c r="M541">
        <v>457.01</v>
      </c>
      <c r="N541" t="s">
        <v>34</v>
      </c>
      <c r="O541" t="s">
        <v>95</v>
      </c>
      <c r="P541" t="str">
        <f t="shared" si="16"/>
        <v>Low Value</v>
      </c>
      <c r="Q541" t="str">
        <f t="shared" si="17"/>
        <v>Low</v>
      </c>
      <c r="R541" t="str" cm="1">
        <f t="array" ref="R541">_xlfn.IFS(L541&gt;50000,"Premium",L541&gt;20000,"High",L541&gt;5000,"Medium",TRUE,"Low")</f>
        <v>Low</v>
      </c>
    </row>
    <row r="542" spans="1:18" x14ac:dyDescent="0.3">
      <c r="A542" t="s">
        <v>1239</v>
      </c>
      <c r="B542" s="1">
        <v>44954</v>
      </c>
      <c r="C542" t="s">
        <v>1240</v>
      </c>
      <c r="D542" t="s">
        <v>789</v>
      </c>
      <c r="E542" t="s">
        <v>18</v>
      </c>
      <c r="F542" t="s">
        <v>60</v>
      </c>
      <c r="G542" t="s">
        <v>61</v>
      </c>
      <c r="H542">
        <v>2</v>
      </c>
      <c r="I542">
        <v>850</v>
      </c>
      <c r="J542">
        <v>15</v>
      </c>
      <c r="K542">
        <v>255</v>
      </c>
      <c r="L542">
        <v>1445</v>
      </c>
      <c r="M542">
        <v>432.01</v>
      </c>
      <c r="N542" t="s">
        <v>27</v>
      </c>
      <c r="O542" t="s">
        <v>95</v>
      </c>
      <c r="P542" t="str">
        <f t="shared" si="16"/>
        <v>Low Value</v>
      </c>
      <c r="Q542" t="str">
        <f t="shared" si="17"/>
        <v>Low</v>
      </c>
      <c r="R542" t="str" cm="1">
        <f t="array" ref="R542">_xlfn.IFS(L542&gt;50000,"Premium",L542&gt;20000,"High",L542&gt;5000,"Medium",TRUE,"Low")</f>
        <v>Low</v>
      </c>
    </row>
    <row r="543" spans="1:18" x14ac:dyDescent="0.3">
      <c r="A543" t="s">
        <v>1241</v>
      </c>
      <c r="B543" s="1">
        <v>45283</v>
      </c>
      <c r="C543" t="s">
        <v>1242</v>
      </c>
      <c r="D543" t="s">
        <v>504</v>
      </c>
      <c r="E543" t="s">
        <v>31</v>
      </c>
      <c r="F543" t="s">
        <v>74</v>
      </c>
      <c r="G543" t="s">
        <v>381</v>
      </c>
      <c r="H543">
        <v>4</v>
      </c>
      <c r="I543">
        <v>800</v>
      </c>
      <c r="J543">
        <v>15</v>
      </c>
      <c r="K543">
        <v>480</v>
      </c>
      <c r="L543">
        <v>2720</v>
      </c>
      <c r="M543">
        <v>399.94</v>
      </c>
      <c r="N543" t="s">
        <v>41</v>
      </c>
      <c r="O543" t="s">
        <v>35</v>
      </c>
      <c r="P543" t="str">
        <f t="shared" si="16"/>
        <v>Low Value</v>
      </c>
      <c r="Q543" t="str">
        <f t="shared" si="17"/>
        <v>Low</v>
      </c>
      <c r="R543" t="str" cm="1">
        <f t="array" ref="R543">_xlfn.IFS(L543&gt;50000,"Premium",L543&gt;20000,"High",L543&gt;5000,"Medium",TRUE,"Low")</f>
        <v>Low</v>
      </c>
    </row>
    <row r="544" spans="1:18" x14ac:dyDescent="0.3">
      <c r="A544" t="s">
        <v>1243</v>
      </c>
      <c r="B544" s="1">
        <v>45055</v>
      </c>
      <c r="C544" t="s">
        <v>985</v>
      </c>
      <c r="D544" t="s">
        <v>321</v>
      </c>
      <c r="E544" t="s">
        <v>48</v>
      </c>
      <c r="F544" t="s">
        <v>32</v>
      </c>
      <c r="G544" t="s">
        <v>55</v>
      </c>
      <c r="H544">
        <v>2</v>
      </c>
      <c r="I544">
        <v>250</v>
      </c>
      <c r="J544">
        <v>25</v>
      </c>
      <c r="K544">
        <v>125</v>
      </c>
      <c r="L544">
        <v>375</v>
      </c>
      <c r="M544">
        <v>101.24</v>
      </c>
      <c r="N544" t="s">
        <v>99</v>
      </c>
      <c r="O544" t="s">
        <v>95</v>
      </c>
      <c r="P544" t="str">
        <f t="shared" si="16"/>
        <v>Low Value</v>
      </c>
      <c r="Q544" t="str">
        <f t="shared" si="17"/>
        <v>Low</v>
      </c>
      <c r="R544" t="str" cm="1">
        <f t="array" ref="R544">_xlfn.IFS(L544&gt;50000,"Premium",L544&gt;20000,"High",L544&gt;5000,"Medium",TRUE,"Low")</f>
        <v>Low</v>
      </c>
    </row>
    <row r="545" spans="1:18" x14ac:dyDescent="0.3">
      <c r="A545" t="s">
        <v>1244</v>
      </c>
      <c r="B545" s="1">
        <v>45289</v>
      </c>
      <c r="C545" t="s">
        <v>1245</v>
      </c>
      <c r="D545" t="s">
        <v>1175</v>
      </c>
      <c r="E545" t="s">
        <v>59</v>
      </c>
      <c r="F545" t="s">
        <v>39</v>
      </c>
      <c r="G545" t="s">
        <v>213</v>
      </c>
      <c r="H545">
        <v>5</v>
      </c>
      <c r="I545">
        <v>15000</v>
      </c>
      <c r="J545">
        <v>20</v>
      </c>
      <c r="K545">
        <v>15000</v>
      </c>
      <c r="L545">
        <v>60000</v>
      </c>
      <c r="M545">
        <v>20095.57</v>
      </c>
      <c r="N545" t="s">
        <v>27</v>
      </c>
      <c r="O545" t="s">
        <v>35</v>
      </c>
      <c r="P545" t="str">
        <f t="shared" si="16"/>
        <v>High Value</v>
      </c>
      <c r="Q545" t="str">
        <f t="shared" si="17"/>
        <v>Premium</v>
      </c>
      <c r="R545" t="str" cm="1">
        <f t="array" ref="R545">_xlfn.IFS(L545&gt;50000,"Premium",L545&gt;20000,"High",L545&gt;5000,"Medium",TRUE,"Low")</f>
        <v>Premium</v>
      </c>
    </row>
    <row r="546" spans="1:18" x14ac:dyDescent="0.3">
      <c r="A546" t="s">
        <v>1246</v>
      </c>
      <c r="B546" s="1">
        <v>45216</v>
      </c>
      <c r="C546" t="s">
        <v>1247</v>
      </c>
      <c r="D546" t="s">
        <v>1248</v>
      </c>
      <c r="E546" t="s">
        <v>78</v>
      </c>
      <c r="F546" t="s">
        <v>49</v>
      </c>
      <c r="G546" t="s">
        <v>458</v>
      </c>
      <c r="H546">
        <v>2</v>
      </c>
      <c r="I546">
        <v>549</v>
      </c>
      <c r="J546">
        <v>5</v>
      </c>
      <c r="K546">
        <v>54.9</v>
      </c>
      <c r="L546">
        <v>1043.0999999999999</v>
      </c>
      <c r="M546">
        <v>324.02999999999997</v>
      </c>
      <c r="N546" t="s">
        <v>34</v>
      </c>
      <c r="O546" t="s">
        <v>22</v>
      </c>
      <c r="P546" t="str">
        <f t="shared" si="16"/>
        <v>Low Value</v>
      </c>
      <c r="Q546" t="str">
        <f t="shared" si="17"/>
        <v>Low</v>
      </c>
      <c r="R546" t="str" cm="1">
        <f t="array" ref="R546">_xlfn.IFS(L546&gt;50000,"Premium",L546&gt;20000,"High",L546&gt;5000,"Medium",TRUE,"Low")</f>
        <v>Low</v>
      </c>
    </row>
    <row r="547" spans="1:18" x14ac:dyDescent="0.3">
      <c r="A547" t="s">
        <v>1249</v>
      </c>
      <c r="B547" s="1">
        <v>45074</v>
      </c>
      <c r="C547" t="s">
        <v>628</v>
      </c>
      <c r="D547" t="s">
        <v>262</v>
      </c>
      <c r="E547" t="s">
        <v>59</v>
      </c>
      <c r="F547" t="s">
        <v>60</v>
      </c>
      <c r="G547" t="s">
        <v>165</v>
      </c>
      <c r="H547">
        <v>1</v>
      </c>
      <c r="I547">
        <v>300</v>
      </c>
      <c r="J547">
        <v>5</v>
      </c>
      <c r="K547">
        <v>15</v>
      </c>
      <c r="L547">
        <v>285</v>
      </c>
      <c r="M547">
        <v>96.37</v>
      </c>
      <c r="N547" t="s">
        <v>41</v>
      </c>
      <c r="O547" t="s">
        <v>22</v>
      </c>
      <c r="P547" t="str">
        <f t="shared" si="16"/>
        <v>Low Value</v>
      </c>
      <c r="Q547" t="str">
        <f t="shared" si="17"/>
        <v>Low</v>
      </c>
      <c r="R547" t="str" cm="1">
        <f t="array" ref="R547">_xlfn.IFS(L547&gt;50000,"Premium",L547&gt;20000,"High",L547&gt;5000,"Medium",TRUE,"Low")</f>
        <v>Low</v>
      </c>
    </row>
    <row r="548" spans="1:18" x14ac:dyDescent="0.3">
      <c r="A548" t="s">
        <v>1250</v>
      </c>
      <c r="B548" s="1">
        <v>45182</v>
      </c>
      <c r="C548" t="s">
        <v>1251</v>
      </c>
      <c r="D548" t="s">
        <v>629</v>
      </c>
      <c r="E548" t="s">
        <v>54</v>
      </c>
      <c r="F548" t="s">
        <v>74</v>
      </c>
      <c r="G548" t="s">
        <v>250</v>
      </c>
      <c r="H548">
        <v>1</v>
      </c>
      <c r="I548">
        <v>3500</v>
      </c>
      <c r="J548">
        <v>20</v>
      </c>
      <c r="K548">
        <v>700</v>
      </c>
      <c r="L548">
        <v>2800</v>
      </c>
      <c r="M548">
        <v>881.47</v>
      </c>
      <c r="N548" t="s">
        <v>41</v>
      </c>
      <c r="O548" t="s">
        <v>22</v>
      </c>
      <c r="P548" t="str">
        <f t="shared" si="16"/>
        <v>Low Value</v>
      </c>
      <c r="Q548" t="str">
        <f t="shared" si="17"/>
        <v>Low</v>
      </c>
      <c r="R548" t="str" cm="1">
        <f t="array" ref="R548">_xlfn.IFS(L548&gt;50000,"Premium",L548&gt;20000,"High",L548&gt;5000,"Medium",TRUE,"Low")</f>
        <v>Low</v>
      </c>
    </row>
    <row r="549" spans="1:18" x14ac:dyDescent="0.3">
      <c r="A549" t="s">
        <v>1252</v>
      </c>
      <c r="B549" s="1">
        <v>45153</v>
      </c>
      <c r="C549" t="s">
        <v>187</v>
      </c>
      <c r="D549" t="s">
        <v>764</v>
      </c>
      <c r="E549" t="s">
        <v>31</v>
      </c>
      <c r="F549" t="s">
        <v>19</v>
      </c>
      <c r="G549" t="s">
        <v>130</v>
      </c>
      <c r="H549">
        <v>5</v>
      </c>
      <c r="I549">
        <v>22000</v>
      </c>
      <c r="J549">
        <v>0</v>
      </c>
      <c r="K549">
        <v>0</v>
      </c>
      <c r="L549">
        <v>110000</v>
      </c>
      <c r="M549">
        <v>13575.53</v>
      </c>
      <c r="N549" t="s">
        <v>99</v>
      </c>
      <c r="O549" t="s">
        <v>35</v>
      </c>
      <c r="P549" t="str">
        <f t="shared" si="16"/>
        <v>High Value</v>
      </c>
      <c r="Q549" t="str">
        <f t="shared" si="17"/>
        <v>Premium</v>
      </c>
      <c r="R549" t="str" cm="1">
        <f t="array" ref="R549">_xlfn.IFS(L549&gt;50000,"Premium",L549&gt;20000,"High",L549&gt;5000,"Medium",TRUE,"Low")</f>
        <v>Premium</v>
      </c>
    </row>
    <row r="550" spans="1:18" x14ac:dyDescent="0.3">
      <c r="A550" t="s">
        <v>1253</v>
      </c>
      <c r="B550" s="1">
        <v>45002</v>
      </c>
      <c r="C550" t="s">
        <v>758</v>
      </c>
      <c r="D550" t="s">
        <v>888</v>
      </c>
      <c r="E550" t="s">
        <v>78</v>
      </c>
      <c r="F550" t="s">
        <v>19</v>
      </c>
      <c r="G550" t="s">
        <v>236</v>
      </c>
      <c r="H550">
        <v>3</v>
      </c>
      <c r="I550">
        <v>800</v>
      </c>
      <c r="J550">
        <v>0</v>
      </c>
      <c r="K550">
        <v>0</v>
      </c>
      <c r="L550">
        <v>2400</v>
      </c>
      <c r="M550">
        <v>224.67</v>
      </c>
      <c r="N550" t="s">
        <v>34</v>
      </c>
      <c r="O550" t="s">
        <v>35</v>
      </c>
      <c r="P550" t="str">
        <f t="shared" si="16"/>
        <v>Low Value</v>
      </c>
      <c r="Q550" t="str">
        <f t="shared" si="17"/>
        <v>Low</v>
      </c>
      <c r="R550" t="str" cm="1">
        <f t="array" ref="R550">_xlfn.IFS(L550&gt;50000,"Premium",L550&gt;20000,"High",L550&gt;5000,"Medium",TRUE,"Low")</f>
        <v>Low</v>
      </c>
    </row>
    <row r="551" spans="1:18" x14ac:dyDescent="0.3">
      <c r="A551" t="s">
        <v>1254</v>
      </c>
      <c r="B551" s="1">
        <v>44952</v>
      </c>
      <c r="C551" t="s">
        <v>1255</v>
      </c>
      <c r="D551" t="s">
        <v>1256</v>
      </c>
      <c r="E551" t="s">
        <v>83</v>
      </c>
      <c r="F551" t="s">
        <v>19</v>
      </c>
      <c r="G551" t="s">
        <v>229</v>
      </c>
      <c r="H551">
        <v>2</v>
      </c>
      <c r="I551">
        <v>8000</v>
      </c>
      <c r="J551">
        <v>5</v>
      </c>
      <c r="K551">
        <v>800</v>
      </c>
      <c r="L551">
        <v>15200</v>
      </c>
      <c r="M551">
        <v>3824.73</v>
      </c>
      <c r="N551" t="s">
        <v>41</v>
      </c>
      <c r="O551" t="s">
        <v>95</v>
      </c>
      <c r="P551" t="str">
        <f t="shared" si="16"/>
        <v>Low Value</v>
      </c>
      <c r="Q551" t="str">
        <f t="shared" si="17"/>
        <v>Medium</v>
      </c>
      <c r="R551" t="str" cm="1">
        <f t="array" ref="R551">_xlfn.IFS(L551&gt;50000,"Premium",L551&gt;20000,"High",L551&gt;5000,"Medium",TRUE,"Low")</f>
        <v>Medium</v>
      </c>
    </row>
    <row r="552" spans="1:18" x14ac:dyDescent="0.3">
      <c r="A552" t="s">
        <v>1257</v>
      </c>
      <c r="B552" s="1">
        <v>45111</v>
      </c>
      <c r="C552" t="s">
        <v>1258</v>
      </c>
      <c r="D552" t="s">
        <v>1259</v>
      </c>
      <c r="E552" t="s">
        <v>18</v>
      </c>
      <c r="F552" t="s">
        <v>19</v>
      </c>
      <c r="G552" t="s">
        <v>20</v>
      </c>
      <c r="H552">
        <v>3</v>
      </c>
      <c r="I552">
        <v>18000</v>
      </c>
      <c r="J552">
        <v>10</v>
      </c>
      <c r="K552">
        <v>5400</v>
      </c>
      <c r="L552">
        <v>48600</v>
      </c>
      <c r="M552">
        <v>7803.74</v>
      </c>
      <c r="N552" t="s">
        <v>34</v>
      </c>
      <c r="O552" t="s">
        <v>22</v>
      </c>
      <c r="P552" t="str">
        <f t="shared" si="16"/>
        <v>High Value</v>
      </c>
      <c r="Q552" t="str">
        <f t="shared" si="17"/>
        <v>High</v>
      </c>
      <c r="R552" t="str" cm="1">
        <f t="array" ref="R552">_xlfn.IFS(L552&gt;50000,"Premium",L552&gt;20000,"High",L552&gt;5000,"Medium",TRUE,"Low")</f>
        <v>High</v>
      </c>
    </row>
    <row r="553" spans="1:18" x14ac:dyDescent="0.3">
      <c r="A553" t="s">
        <v>1260</v>
      </c>
      <c r="B553" s="1">
        <v>44995</v>
      </c>
      <c r="C553" t="s">
        <v>498</v>
      </c>
      <c r="D553" t="s">
        <v>1261</v>
      </c>
      <c r="E553" t="s">
        <v>59</v>
      </c>
      <c r="F553" t="s">
        <v>19</v>
      </c>
      <c r="G553" t="s">
        <v>236</v>
      </c>
      <c r="H553">
        <v>3</v>
      </c>
      <c r="I553">
        <v>800</v>
      </c>
      <c r="J553">
        <v>10</v>
      </c>
      <c r="K553">
        <v>240</v>
      </c>
      <c r="L553">
        <v>2160</v>
      </c>
      <c r="M553">
        <v>449.53</v>
      </c>
      <c r="N553" t="s">
        <v>99</v>
      </c>
      <c r="O553" t="s">
        <v>95</v>
      </c>
      <c r="P553" t="str">
        <f t="shared" si="16"/>
        <v>Low Value</v>
      </c>
      <c r="Q553" t="str">
        <f t="shared" si="17"/>
        <v>Low</v>
      </c>
      <c r="R553" t="str" cm="1">
        <f t="array" ref="R553">_xlfn.IFS(L553&gt;50000,"Premium",L553&gt;20000,"High",L553&gt;5000,"Medium",TRUE,"Low")</f>
        <v>Low</v>
      </c>
    </row>
    <row r="554" spans="1:18" x14ac:dyDescent="0.3">
      <c r="A554" t="s">
        <v>1262</v>
      </c>
      <c r="B554" s="1">
        <v>45249</v>
      </c>
      <c r="C554" t="s">
        <v>673</v>
      </c>
      <c r="D554" t="s">
        <v>496</v>
      </c>
      <c r="E554" t="s">
        <v>48</v>
      </c>
      <c r="F554" t="s">
        <v>74</v>
      </c>
      <c r="G554" t="s">
        <v>137</v>
      </c>
      <c r="H554">
        <v>4</v>
      </c>
      <c r="I554">
        <v>2500</v>
      </c>
      <c r="J554">
        <v>25</v>
      </c>
      <c r="K554">
        <v>2500</v>
      </c>
      <c r="L554">
        <v>7500</v>
      </c>
      <c r="M554">
        <v>1924.47</v>
      </c>
      <c r="N554" t="s">
        <v>34</v>
      </c>
      <c r="O554" t="s">
        <v>95</v>
      </c>
      <c r="P554" t="str">
        <f t="shared" si="16"/>
        <v>Low Value</v>
      </c>
      <c r="Q554" t="str">
        <f t="shared" si="17"/>
        <v>Medium</v>
      </c>
      <c r="R554" t="str" cm="1">
        <f t="array" ref="R554">_xlfn.IFS(L554&gt;50000,"Premium",L554&gt;20000,"High",L554&gt;5000,"Medium",TRUE,"Low")</f>
        <v>Medium</v>
      </c>
    </row>
    <row r="555" spans="1:18" x14ac:dyDescent="0.3">
      <c r="A555" t="s">
        <v>1263</v>
      </c>
      <c r="B555" s="1">
        <v>45221</v>
      </c>
      <c r="C555" t="s">
        <v>1084</v>
      </c>
      <c r="D555" t="s">
        <v>264</v>
      </c>
      <c r="E555" t="s">
        <v>83</v>
      </c>
      <c r="F555" t="s">
        <v>74</v>
      </c>
      <c r="G555" t="s">
        <v>341</v>
      </c>
      <c r="H555">
        <v>2</v>
      </c>
      <c r="I555">
        <v>700</v>
      </c>
      <c r="J555">
        <v>20</v>
      </c>
      <c r="K555">
        <v>280</v>
      </c>
      <c r="L555">
        <v>1120</v>
      </c>
      <c r="M555">
        <v>245.05</v>
      </c>
      <c r="N555" t="s">
        <v>21</v>
      </c>
      <c r="O555" t="s">
        <v>35</v>
      </c>
      <c r="P555" t="str">
        <f t="shared" si="16"/>
        <v>Low Value</v>
      </c>
      <c r="Q555" t="str">
        <f t="shared" si="17"/>
        <v>Low</v>
      </c>
      <c r="R555" t="str" cm="1">
        <f t="array" ref="R555">_xlfn.IFS(L555&gt;50000,"Premium",L555&gt;20000,"High",L555&gt;5000,"Medium",TRUE,"Low")</f>
        <v>Low</v>
      </c>
    </row>
    <row r="556" spans="1:18" x14ac:dyDescent="0.3">
      <c r="A556" t="s">
        <v>1264</v>
      </c>
      <c r="B556" s="1">
        <v>45289</v>
      </c>
      <c r="C556" t="s">
        <v>1020</v>
      </c>
      <c r="D556" t="s">
        <v>270</v>
      </c>
      <c r="E556" t="s">
        <v>26</v>
      </c>
      <c r="F556" t="s">
        <v>32</v>
      </c>
      <c r="G556" t="s">
        <v>148</v>
      </c>
      <c r="H556">
        <v>1</v>
      </c>
      <c r="I556">
        <v>120</v>
      </c>
      <c r="J556">
        <v>0</v>
      </c>
      <c r="K556">
        <v>0</v>
      </c>
      <c r="L556">
        <v>120</v>
      </c>
      <c r="M556">
        <v>6.86</v>
      </c>
      <c r="N556" t="s">
        <v>41</v>
      </c>
      <c r="O556" t="s">
        <v>35</v>
      </c>
      <c r="P556" t="str">
        <f t="shared" si="16"/>
        <v>Low Value</v>
      </c>
      <c r="Q556" t="str">
        <f t="shared" si="17"/>
        <v>Low</v>
      </c>
      <c r="R556" t="str" cm="1">
        <f t="array" ref="R556">_xlfn.IFS(L556&gt;50000,"Premium",L556&gt;20000,"High",L556&gt;5000,"Medium",TRUE,"Low")</f>
        <v>Low</v>
      </c>
    </row>
    <row r="557" spans="1:18" x14ac:dyDescent="0.3">
      <c r="A557" t="s">
        <v>1265</v>
      </c>
      <c r="B557" s="1">
        <v>45097</v>
      </c>
      <c r="C557" t="s">
        <v>617</v>
      </c>
      <c r="D557" t="s">
        <v>1266</v>
      </c>
      <c r="E557" t="s">
        <v>18</v>
      </c>
      <c r="F557" t="s">
        <v>32</v>
      </c>
      <c r="G557" t="s">
        <v>361</v>
      </c>
      <c r="H557">
        <v>2</v>
      </c>
      <c r="I557">
        <v>90</v>
      </c>
      <c r="J557">
        <v>0</v>
      </c>
      <c r="K557">
        <v>0</v>
      </c>
      <c r="L557">
        <v>180</v>
      </c>
      <c r="M557">
        <v>43.59</v>
      </c>
      <c r="N557" t="s">
        <v>34</v>
      </c>
      <c r="O557" t="s">
        <v>35</v>
      </c>
      <c r="P557" t="str">
        <f t="shared" si="16"/>
        <v>Low Value</v>
      </c>
      <c r="Q557" t="str">
        <f t="shared" si="17"/>
        <v>Low</v>
      </c>
      <c r="R557" t="str" cm="1">
        <f t="array" ref="R557">_xlfn.IFS(L557&gt;50000,"Premium",L557&gt;20000,"High",L557&gt;5000,"Medium",TRUE,"Low")</f>
        <v>Low</v>
      </c>
    </row>
    <row r="558" spans="1:18" x14ac:dyDescent="0.3">
      <c r="A558" t="s">
        <v>1267</v>
      </c>
      <c r="B558" s="1">
        <v>45186</v>
      </c>
      <c r="C558" t="s">
        <v>29</v>
      </c>
      <c r="D558" t="s">
        <v>1268</v>
      </c>
      <c r="E558" t="s">
        <v>59</v>
      </c>
      <c r="F558" t="s">
        <v>74</v>
      </c>
      <c r="G558" t="s">
        <v>341</v>
      </c>
      <c r="H558">
        <v>1</v>
      </c>
      <c r="I558">
        <v>700</v>
      </c>
      <c r="J558">
        <v>0</v>
      </c>
      <c r="K558">
        <v>0</v>
      </c>
      <c r="L558">
        <v>700</v>
      </c>
      <c r="M558">
        <v>179.03</v>
      </c>
      <c r="N558" t="s">
        <v>27</v>
      </c>
      <c r="O558" t="s">
        <v>35</v>
      </c>
      <c r="P558" t="str">
        <f t="shared" si="16"/>
        <v>Low Value</v>
      </c>
      <c r="Q558" t="str">
        <f t="shared" si="17"/>
        <v>Low</v>
      </c>
      <c r="R558" t="str" cm="1">
        <f t="array" ref="R558">_xlfn.IFS(L558&gt;50000,"Premium",L558&gt;20000,"High",L558&gt;5000,"Medium",TRUE,"Low")</f>
        <v>Low</v>
      </c>
    </row>
    <row r="559" spans="1:18" x14ac:dyDescent="0.3">
      <c r="A559" t="s">
        <v>1269</v>
      </c>
      <c r="B559" s="1">
        <v>45096</v>
      </c>
      <c r="C559" t="s">
        <v>460</v>
      </c>
      <c r="D559" t="s">
        <v>1270</v>
      </c>
      <c r="E559" t="s">
        <v>83</v>
      </c>
      <c r="F559" t="s">
        <v>49</v>
      </c>
      <c r="G559" t="s">
        <v>161</v>
      </c>
      <c r="H559">
        <v>4</v>
      </c>
      <c r="I559">
        <v>599</v>
      </c>
      <c r="J559">
        <v>15</v>
      </c>
      <c r="K559">
        <v>359.4</v>
      </c>
      <c r="L559">
        <v>2036.6</v>
      </c>
      <c r="M559">
        <v>588.94000000000005</v>
      </c>
      <c r="N559" t="s">
        <v>41</v>
      </c>
      <c r="O559" t="s">
        <v>95</v>
      </c>
      <c r="P559" t="str">
        <f t="shared" si="16"/>
        <v>Low Value</v>
      </c>
      <c r="Q559" t="str">
        <f t="shared" si="17"/>
        <v>Low</v>
      </c>
      <c r="R559" t="str" cm="1">
        <f t="array" ref="R559">_xlfn.IFS(L559&gt;50000,"Premium",L559&gt;20000,"High",L559&gt;5000,"Medium",TRUE,"Low")</f>
        <v>Low</v>
      </c>
    </row>
    <row r="560" spans="1:18" x14ac:dyDescent="0.3">
      <c r="A560" t="s">
        <v>1271</v>
      </c>
      <c r="B560" s="1">
        <v>45098</v>
      </c>
      <c r="C560" t="s">
        <v>1084</v>
      </c>
      <c r="D560" t="s">
        <v>572</v>
      </c>
      <c r="E560" t="s">
        <v>48</v>
      </c>
      <c r="F560" t="s">
        <v>39</v>
      </c>
      <c r="G560" t="s">
        <v>209</v>
      </c>
      <c r="H560">
        <v>4</v>
      </c>
      <c r="I560">
        <v>3200</v>
      </c>
      <c r="J560">
        <v>25</v>
      </c>
      <c r="K560">
        <v>3200</v>
      </c>
      <c r="L560">
        <v>9600</v>
      </c>
      <c r="M560">
        <v>641.34</v>
      </c>
      <c r="N560" t="s">
        <v>21</v>
      </c>
      <c r="O560" t="s">
        <v>95</v>
      </c>
      <c r="P560" t="str">
        <f t="shared" si="16"/>
        <v>Low Value</v>
      </c>
      <c r="Q560" t="str">
        <f t="shared" si="17"/>
        <v>Medium</v>
      </c>
      <c r="R560" t="str" cm="1">
        <f t="array" ref="R560">_xlfn.IFS(L560&gt;50000,"Premium",L560&gt;20000,"High",L560&gt;5000,"Medium",TRUE,"Low")</f>
        <v>Medium</v>
      </c>
    </row>
    <row r="561" spans="1:18" x14ac:dyDescent="0.3">
      <c r="A561" t="s">
        <v>1272</v>
      </c>
      <c r="B561" s="1">
        <v>44936</v>
      </c>
      <c r="C561" t="s">
        <v>329</v>
      </c>
      <c r="D561" t="s">
        <v>1273</v>
      </c>
      <c r="E561" t="s">
        <v>48</v>
      </c>
      <c r="F561" t="s">
        <v>69</v>
      </c>
      <c r="G561" t="s">
        <v>243</v>
      </c>
      <c r="H561">
        <v>3</v>
      </c>
      <c r="I561">
        <v>1999</v>
      </c>
      <c r="J561">
        <v>10</v>
      </c>
      <c r="K561">
        <v>599.70000000000005</v>
      </c>
      <c r="L561">
        <v>5397.3</v>
      </c>
      <c r="M561">
        <v>377.08</v>
      </c>
      <c r="N561" t="s">
        <v>41</v>
      </c>
      <c r="O561" t="s">
        <v>95</v>
      </c>
      <c r="P561" t="str">
        <f t="shared" si="16"/>
        <v>Low Value</v>
      </c>
      <c r="Q561" t="str">
        <f t="shared" si="17"/>
        <v>Medium</v>
      </c>
      <c r="R561" t="str" cm="1">
        <f t="array" ref="R561">_xlfn.IFS(L561&gt;50000,"Premium",L561&gt;20000,"High",L561&gt;5000,"Medium",TRUE,"Low")</f>
        <v>Medium</v>
      </c>
    </row>
    <row r="562" spans="1:18" x14ac:dyDescent="0.3">
      <c r="A562" t="s">
        <v>1274</v>
      </c>
      <c r="B562" s="1">
        <v>45011</v>
      </c>
      <c r="C562" t="s">
        <v>1275</v>
      </c>
      <c r="D562" t="s">
        <v>775</v>
      </c>
      <c r="E562" t="s">
        <v>59</v>
      </c>
      <c r="F562" t="s">
        <v>74</v>
      </c>
      <c r="G562" t="s">
        <v>144</v>
      </c>
      <c r="H562">
        <v>4</v>
      </c>
      <c r="I562">
        <v>1500</v>
      </c>
      <c r="J562">
        <v>5</v>
      </c>
      <c r="K562">
        <v>300</v>
      </c>
      <c r="L562">
        <v>5700</v>
      </c>
      <c r="M562">
        <v>1302.78</v>
      </c>
      <c r="N562" t="s">
        <v>34</v>
      </c>
      <c r="O562" t="s">
        <v>22</v>
      </c>
      <c r="P562" t="str">
        <f t="shared" si="16"/>
        <v>Low Value</v>
      </c>
      <c r="Q562" t="str">
        <f t="shared" si="17"/>
        <v>Medium</v>
      </c>
      <c r="R562" t="str" cm="1">
        <f t="array" ref="R562">_xlfn.IFS(L562&gt;50000,"Premium",L562&gt;20000,"High",L562&gt;5000,"Medium",TRUE,"Low")</f>
        <v>Medium</v>
      </c>
    </row>
    <row r="563" spans="1:18" x14ac:dyDescent="0.3">
      <c r="A563" t="s">
        <v>1276</v>
      </c>
      <c r="B563" s="1">
        <v>44971</v>
      </c>
      <c r="C563" t="s">
        <v>1277</v>
      </c>
      <c r="D563" t="s">
        <v>191</v>
      </c>
      <c r="E563" t="s">
        <v>78</v>
      </c>
      <c r="F563" t="s">
        <v>39</v>
      </c>
      <c r="G563" t="s">
        <v>84</v>
      </c>
      <c r="H563">
        <v>3</v>
      </c>
      <c r="I563">
        <v>6500</v>
      </c>
      <c r="J563">
        <v>15</v>
      </c>
      <c r="K563">
        <v>2925</v>
      </c>
      <c r="L563">
        <v>16575</v>
      </c>
      <c r="M563">
        <v>4953.2299999999996</v>
      </c>
      <c r="N563" t="s">
        <v>27</v>
      </c>
      <c r="O563" t="s">
        <v>35</v>
      </c>
      <c r="P563" t="str">
        <f t="shared" si="16"/>
        <v>Low Value</v>
      </c>
      <c r="Q563" t="str">
        <f t="shared" si="17"/>
        <v>Medium</v>
      </c>
      <c r="R563" t="str" cm="1">
        <f t="array" ref="R563">_xlfn.IFS(L563&gt;50000,"Premium",L563&gt;20000,"High",L563&gt;5000,"Medium",TRUE,"Low")</f>
        <v>Medium</v>
      </c>
    </row>
    <row r="564" spans="1:18" x14ac:dyDescent="0.3">
      <c r="A564" t="s">
        <v>1278</v>
      </c>
      <c r="B564" s="1">
        <v>45118</v>
      </c>
      <c r="C564" t="s">
        <v>1242</v>
      </c>
      <c r="D564" t="s">
        <v>1279</v>
      </c>
      <c r="E564" t="s">
        <v>83</v>
      </c>
      <c r="F564" t="s">
        <v>49</v>
      </c>
      <c r="G564" t="s">
        <v>50</v>
      </c>
      <c r="H564">
        <v>2</v>
      </c>
      <c r="I564">
        <v>499</v>
      </c>
      <c r="J564">
        <v>0</v>
      </c>
      <c r="K564">
        <v>0</v>
      </c>
      <c r="L564">
        <v>998</v>
      </c>
      <c r="M564">
        <v>182.77</v>
      </c>
      <c r="N564" t="s">
        <v>27</v>
      </c>
      <c r="O564" t="s">
        <v>35</v>
      </c>
      <c r="P564" t="str">
        <f t="shared" si="16"/>
        <v>Low Value</v>
      </c>
      <c r="Q564" t="str">
        <f t="shared" si="17"/>
        <v>Low</v>
      </c>
      <c r="R564" t="str" cm="1">
        <f t="array" ref="R564">_xlfn.IFS(L564&gt;50000,"Premium",L564&gt;20000,"High",L564&gt;5000,"Medium",TRUE,"Low")</f>
        <v>Low</v>
      </c>
    </row>
    <row r="565" spans="1:18" x14ac:dyDescent="0.3">
      <c r="A565" t="s">
        <v>1280</v>
      </c>
      <c r="B565" s="1">
        <v>45174</v>
      </c>
      <c r="C565" t="s">
        <v>354</v>
      </c>
      <c r="D565" t="s">
        <v>855</v>
      </c>
      <c r="E565" t="s">
        <v>83</v>
      </c>
      <c r="F565" t="s">
        <v>60</v>
      </c>
      <c r="G565" t="s">
        <v>349</v>
      </c>
      <c r="H565">
        <v>5</v>
      </c>
      <c r="I565">
        <v>250</v>
      </c>
      <c r="J565">
        <v>10</v>
      </c>
      <c r="K565">
        <v>125</v>
      </c>
      <c r="L565">
        <v>1125</v>
      </c>
      <c r="M565">
        <v>317.99</v>
      </c>
      <c r="N565" t="s">
        <v>27</v>
      </c>
      <c r="O565" t="s">
        <v>35</v>
      </c>
      <c r="P565" t="str">
        <f t="shared" si="16"/>
        <v>Low Value</v>
      </c>
      <c r="Q565" t="str">
        <f t="shared" si="17"/>
        <v>Low</v>
      </c>
      <c r="R565" t="str" cm="1">
        <f t="array" ref="R565">_xlfn.IFS(L565&gt;50000,"Premium",L565&gt;20000,"High",L565&gt;5000,"Medium",TRUE,"Low")</f>
        <v>Low</v>
      </c>
    </row>
    <row r="566" spans="1:18" x14ac:dyDescent="0.3">
      <c r="A566" t="s">
        <v>1281</v>
      </c>
      <c r="B566" s="1">
        <v>45162</v>
      </c>
      <c r="C566" t="s">
        <v>1282</v>
      </c>
      <c r="D566" t="s">
        <v>287</v>
      </c>
      <c r="E566" t="s">
        <v>18</v>
      </c>
      <c r="F566" t="s">
        <v>39</v>
      </c>
      <c r="G566" t="s">
        <v>213</v>
      </c>
      <c r="H566">
        <v>5</v>
      </c>
      <c r="I566">
        <v>15000</v>
      </c>
      <c r="J566">
        <v>0</v>
      </c>
      <c r="K566">
        <v>0</v>
      </c>
      <c r="L566">
        <v>75000</v>
      </c>
      <c r="M566">
        <v>3842.47</v>
      </c>
      <c r="N566" t="s">
        <v>34</v>
      </c>
      <c r="O566" t="s">
        <v>22</v>
      </c>
      <c r="P566" t="str">
        <f t="shared" si="16"/>
        <v>High Value</v>
      </c>
      <c r="Q566" t="str">
        <f t="shared" si="17"/>
        <v>Premium</v>
      </c>
      <c r="R566" t="str" cm="1">
        <f t="array" ref="R566">_xlfn.IFS(L566&gt;50000,"Premium",L566&gt;20000,"High",L566&gt;5000,"Medium",TRUE,"Low")</f>
        <v>Premium</v>
      </c>
    </row>
    <row r="567" spans="1:18" x14ac:dyDescent="0.3">
      <c r="A567" t="s">
        <v>1283</v>
      </c>
      <c r="B567" s="1">
        <v>44950</v>
      </c>
      <c r="C567" t="s">
        <v>948</v>
      </c>
      <c r="D567" t="s">
        <v>151</v>
      </c>
      <c r="E567" t="s">
        <v>31</v>
      </c>
      <c r="F567" t="s">
        <v>19</v>
      </c>
      <c r="G567" t="s">
        <v>130</v>
      </c>
      <c r="H567">
        <v>3</v>
      </c>
      <c r="I567">
        <v>22000</v>
      </c>
      <c r="J567">
        <v>0</v>
      </c>
      <c r="K567">
        <v>0</v>
      </c>
      <c r="L567">
        <v>66000</v>
      </c>
      <c r="M567">
        <v>14735.68</v>
      </c>
      <c r="N567" t="s">
        <v>27</v>
      </c>
      <c r="O567" t="s">
        <v>35</v>
      </c>
      <c r="P567" t="str">
        <f t="shared" si="16"/>
        <v>High Value</v>
      </c>
      <c r="Q567" t="str">
        <f t="shared" si="17"/>
        <v>Premium</v>
      </c>
      <c r="R567" t="str" cm="1">
        <f t="array" ref="R567">_xlfn.IFS(L567&gt;50000,"Premium",L567&gt;20000,"High",L567&gt;5000,"Medium",TRUE,"Low")</f>
        <v>Premium</v>
      </c>
    </row>
    <row r="568" spans="1:18" x14ac:dyDescent="0.3">
      <c r="A568" t="s">
        <v>1284</v>
      </c>
      <c r="B568" s="1">
        <v>45068</v>
      </c>
      <c r="C568" t="s">
        <v>329</v>
      </c>
      <c r="D568" t="s">
        <v>93</v>
      </c>
      <c r="E568" t="s">
        <v>18</v>
      </c>
      <c r="F568" t="s">
        <v>74</v>
      </c>
      <c r="G568" t="s">
        <v>341</v>
      </c>
      <c r="H568">
        <v>4</v>
      </c>
      <c r="I568">
        <v>700</v>
      </c>
      <c r="J568">
        <v>25</v>
      </c>
      <c r="K568">
        <v>700</v>
      </c>
      <c r="L568">
        <v>2100</v>
      </c>
      <c r="M568">
        <v>179.12</v>
      </c>
      <c r="N568" t="s">
        <v>99</v>
      </c>
      <c r="O568" t="s">
        <v>95</v>
      </c>
      <c r="P568" t="str">
        <f t="shared" si="16"/>
        <v>Low Value</v>
      </c>
      <c r="Q568" t="str">
        <f t="shared" si="17"/>
        <v>Low</v>
      </c>
      <c r="R568" t="str" cm="1">
        <f t="array" ref="R568">_xlfn.IFS(L568&gt;50000,"Premium",L568&gt;20000,"High",L568&gt;5000,"Medium",TRUE,"Low")</f>
        <v>Low</v>
      </c>
    </row>
    <row r="569" spans="1:18" x14ac:dyDescent="0.3">
      <c r="A569" t="s">
        <v>1285</v>
      </c>
      <c r="B569" s="1">
        <v>45213</v>
      </c>
      <c r="C569" t="s">
        <v>1286</v>
      </c>
      <c r="D569" t="s">
        <v>30</v>
      </c>
      <c r="E569" t="s">
        <v>78</v>
      </c>
      <c r="F569" t="s">
        <v>74</v>
      </c>
      <c r="G569" t="s">
        <v>137</v>
      </c>
      <c r="H569">
        <v>2</v>
      </c>
      <c r="I569">
        <v>2500</v>
      </c>
      <c r="J569">
        <v>20</v>
      </c>
      <c r="K569">
        <v>1000</v>
      </c>
      <c r="L569">
        <v>4000</v>
      </c>
      <c r="M569">
        <v>620.38</v>
      </c>
      <c r="N569" t="s">
        <v>21</v>
      </c>
      <c r="O569" t="s">
        <v>35</v>
      </c>
      <c r="P569" t="str">
        <f t="shared" si="16"/>
        <v>Low Value</v>
      </c>
      <c r="Q569" t="str">
        <f t="shared" si="17"/>
        <v>Low</v>
      </c>
      <c r="R569" t="str" cm="1">
        <f t="array" ref="R569">_xlfn.IFS(L569&gt;50000,"Premium",L569&gt;20000,"High",L569&gt;5000,"Medium",TRUE,"Low")</f>
        <v>Low</v>
      </c>
    </row>
    <row r="570" spans="1:18" x14ac:dyDescent="0.3">
      <c r="A570" t="s">
        <v>1287</v>
      </c>
      <c r="B570" s="1">
        <v>45014</v>
      </c>
      <c r="C570" t="s">
        <v>560</v>
      </c>
      <c r="D570" t="s">
        <v>393</v>
      </c>
      <c r="E570" t="s">
        <v>54</v>
      </c>
      <c r="F570" t="s">
        <v>19</v>
      </c>
      <c r="G570" t="s">
        <v>103</v>
      </c>
      <c r="H570">
        <v>5</v>
      </c>
      <c r="I570">
        <v>3500</v>
      </c>
      <c r="J570">
        <v>10</v>
      </c>
      <c r="K570">
        <v>1750</v>
      </c>
      <c r="L570">
        <v>15750</v>
      </c>
      <c r="M570">
        <v>3341.73</v>
      </c>
      <c r="N570" t="s">
        <v>99</v>
      </c>
      <c r="O570" t="s">
        <v>35</v>
      </c>
      <c r="P570" t="str">
        <f t="shared" si="16"/>
        <v>Low Value</v>
      </c>
      <c r="Q570" t="str">
        <f t="shared" si="17"/>
        <v>Medium</v>
      </c>
      <c r="R570" t="str" cm="1">
        <f t="array" ref="R570">_xlfn.IFS(L570&gt;50000,"Premium",L570&gt;20000,"High",L570&gt;5000,"Medium",TRUE,"Low")</f>
        <v>Medium</v>
      </c>
    </row>
    <row r="571" spans="1:18" x14ac:dyDescent="0.3">
      <c r="A571" t="s">
        <v>1288</v>
      </c>
      <c r="B571" s="1">
        <v>45123</v>
      </c>
      <c r="C571" t="s">
        <v>1012</v>
      </c>
      <c r="D571" t="s">
        <v>1289</v>
      </c>
      <c r="E571" t="s">
        <v>48</v>
      </c>
      <c r="F571" t="s">
        <v>19</v>
      </c>
      <c r="G571" t="s">
        <v>20</v>
      </c>
      <c r="H571">
        <v>4</v>
      </c>
      <c r="I571">
        <v>18000</v>
      </c>
      <c r="J571">
        <v>15</v>
      </c>
      <c r="K571">
        <v>10800</v>
      </c>
      <c r="L571">
        <v>61200</v>
      </c>
      <c r="M571">
        <v>6346.13</v>
      </c>
      <c r="N571" t="s">
        <v>34</v>
      </c>
      <c r="O571" t="s">
        <v>35</v>
      </c>
      <c r="P571" t="str">
        <f t="shared" si="16"/>
        <v>High Value</v>
      </c>
      <c r="Q571" t="str">
        <f t="shared" si="17"/>
        <v>Premium</v>
      </c>
      <c r="R571" t="str" cm="1">
        <f t="array" ref="R571">_xlfn.IFS(L571&gt;50000,"Premium",L571&gt;20000,"High",L571&gt;5000,"Medium",TRUE,"Low")</f>
        <v>Premium</v>
      </c>
    </row>
    <row r="572" spans="1:18" x14ac:dyDescent="0.3">
      <c r="A572" t="s">
        <v>1290</v>
      </c>
      <c r="B572" s="1">
        <v>45028</v>
      </c>
      <c r="C572" t="s">
        <v>1291</v>
      </c>
      <c r="D572" t="s">
        <v>992</v>
      </c>
      <c r="E572" t="s">
        <v>83</v>
      </c>
      <c r="F572" t="s">
        <v>60</v>
      </c>
      <c r="G572" t="s">
        <v>349</v>
      </c>
      <c r="H572">
        <v>5</v>
      </c>
      <c r="I572">
        <v>250</v>
      </c>
      <c r="J572">
        <v>0</v>
      </c>
      <c r="K572">
        <v>0</v>
      </c>
      <c r="L572">
        <v>1250</v>
      </c>
      <c r="M572">
        <v>427.63</v>
      </c>
      <c r="N572" t="s">
        <v>99</v>
      </c>
      <c r="O572" t="s">
        <v>22</v>
      </c>
      <c r="P572" t="str">
        <f t="shared" si="16"/>
        <v>Low Value</v>
      </c>
      <c r="Q572" t="str">
        <f t="shared" si="17"/>
        <v>Low</v>
      </c>
      <c r="R572" t="str" cm="1">
        <f t="array" ref="R572">_xlfn.IFS(L572&gt;50000,"Premium",L572&gt;20000,"High",L572&gt;5000,"Medium",TRUE,"Low")</f>
        <v>Low</v>
      </c>
    </row>
    <row r="573" spans="1:18" x14ac:dyDescent="0.3">
      <c r="A573" t="s">
        <v>1292</v>
      </c>
      <c r="B573" s="1">
        <v>44976</v>
      </c>
      <c r="C573" t="s">
        <v>1293</v>
      </c>
      <c r="D573" t="s">
        <v>1294</v>
      </c>
      <c r="E573" t="s">
        <v>78</v>
      </c>
      <c r="F573" t="s">
        <v>39</v>
      </c>
      <c r="G573" t="s">
        <v>126</v>
      </c>
      <c r="H573">
        <v>4</v>
      </c>
      <c r="I573">
        <v>4200</v>
      </c>
      <c r="J573">
        <v>15</v>
      </c>
      <c r="K573">
        <v>2520</v>
      </c>
      <c r="L573">
        <v>14280</v>
      </c>
      <c r="M573">
        <v>1706.58</v>
      </c>
      <c r="N573" t="s">
        <v>34</v>
      </c>
      <c r="O573" t="s">
        <v>22</v>
      </c>
      <c r="P573" t="str">
        <f t="shared" si="16"/>
        <v>Low Value</v>
      </c>
      <c r="Q573" t="str">
        <f t="shared" si="17"/>
        <v>Medium</v>
      </c>
      <c r="R573" t="str" cm="1">
        <f t="array" ref="R573">_xlfn.IFS(L573&gt;50000,"Premium",L573&gt;20000,"High",L573&gt;5000,"Medium",TRUE,"Low")</f>
        <v>Medium</v>
      </c>
    </row>
    <row r="574" spans="1:18" x14ac:dyDescent="0.3">
      <c r="A574" t="s">
        <v>1295</v>
      </c>
      <c r="B574" s="1">
        <v>45020</v>
      </c>
      <c r="C574" t="s">
        <v>1296</v>
      </c>
      <c r="D574" t="s">
        <v>1297</v>
      </c>
      <c r="E574" t="s">
        <v>18</v>
      </c>
      <c r="F574" t="s">
        <v>60</v>
      </c>
      <c r="G574" t="s">
        <v>115</v>
      </c>
      <c r="H574">
        <v>3</v>
      </c>
      <c r="I574">
        <v>1800</v>
      </c>
      <c r="J574">
        <v>10</v>
      </c>
      <c r="K574">
        <v>540</v>
      </c>
      <c r="L574">
        <v>4860</v>
      </c>
      <c r="M574">
        <v>903.89</v>
      </c>
      <c r="N574" t="s">
        <v>34</v>
      </c>
      <c r="O574" t="s">
        <v>22</v>
      </c>
      <c r="P574" t="str">
        <f t="shared" si="16"/>
        <v>Low Value</v>
      </c>
      <c r="Q574" t="str">
        <f t="shared" si="17"/>
        <v>Low</v>
      </c>
      <c r="R574" t="str" cm="1">
        <f t="array" ref="R574">_xlfn.IFS(L574&gt;50000,"Premium",L574&gt;20000,"High",L574&gt;5000,"Medium",TRUE,"Low")</f>
        <v>Low</v>
      </c>
    </row>
    <row r="575" spans="1:18" x14ac:dyDescent="0.3">
      <c r="A575" t="s">
        <v>1298</v>
      </c>
      <c r="B575" s="1">
        <v>45163</v>
      </c>
      <c r="C575" t="s">
        <v>159</v>
      </c>
      <c r="D575" t="s">
        <v>396</v>
      </c>
      <c r="E575" t="s">
        <v>26</v>
      </c>
      <c r="F575" t="s">
        <v>49</v>
      </c>
      <c r="G575" t="s">
        <v>94</v>
      </c>
      <c r="H575">
        <v>3</v>
      </c>
      <c r="I575">
        <v>399</v>
      </c>
      <c r="J575">
        <v>10</v>
      </c>
      <c r="K575">
        <v>119.7</v>
      </c>
      <c r="L575">
        <v>1077.3</v>
      </c>
      <c r="M575">
        <v>249.21</v>
      </c>
      <c r="N575" t="s">
        <v>99</v>
      </c>
      <c r="O575" t="s">
        <v>35</v>
      </c>
      <c r="P575" t="str">
        <f t="shared" si="16"/>
        <v>Low Value</v>
      </c>
      <c r="Q575" t="str">
        <f t="shared" si="17"/>
        <v>Low</v>
      </c>
      <c r="R575" t="str" cm="1">
        <f t="array" ref="R575">_xlfn.IFS(L575&gt;50000,"Premium",L575&gt;20000,"High",L575&gt;5000,"Medium",TRUE,"Low")</f>
        <v>Low</v>
      </c>
    </row>
    <row r="576" spans="1:18" x14ac:dyDescent="0.3">
      <c r="A576" t="s">
        <v>1299</v>
      </c>
      <c r="B576" s="1">
        <v>45211</v>
      </c>
      <c r="C576" t="s">
        <v>1300</v>
      </c>
      <c r="D576" t="s">
        <v>168</v>
      </c>
      <c r="E576" t="s">
        <v>31</v>
      </c>
      <c r="F576" t="s">
        <v>60</v>
      </c>
      <c r="G576" t="s">
        <v>291</v>
      </c>
      <c r="H576">
        <v>3</v>
      </c>
      <c r="I576">
        <v>450</v>
      </c>
      <c r="J576">
        <v>20</v>
      </c>
      <c r="K576">
        <v>270</v>
      </c>
      <c r="L576">
        <v>1080</v>
      </c>
      <c r="M576">
        <v>203.36</v>
      </c>
      <c r="N576" t="s">
        <v>21</v>
      </c>
      <c r="O576" t="s">
        <v>35</v>
      </c>
      <c r="P576" t="str">
        <f t="shared" si="16"/>
        <v>Low Value</v>
      </c>
      <c r="Q576" t="str">
        <f t="shared" si="17"/>
        <v>Low</v>
      </c>
      <c r="R576" t="str" cm="1">
        <f t="array" ref="R576">_xlfn.IFS(L576&gt;50000,"Premium",L576&gt;20000,"High",L576&gt;5000,"Medium",TRUE,"Low")</f>
        <v>Low</v>
      </c>
    </row>
    <row r="577" spans="1:18" x14ac:dyDescent="0.3">
      <c r="A577" t="s">
        <v>1301</v>
      </c>
      <c r="B577" s="1">
        <v>45173</v>
      </c>
      <c r="C577" t="s">
        <v>1300</v>
      </c>
      <c r="D577" t="s">
        <v>1302</v>
      </c>
      <c r="E577" t="s">
        <v>48</v>
      </c>
      <c r="F577" t="s">
        <v>39</v>
      </c>
      <c r="G577" t="s">
        <v>40</v>
      </c>
      <c r="H577">
        <v>3</v>
      </c>
      <c r="I577">
        <v>8500</v>
      </c>
      <c r="J577">
        <v>5</v>
      </c>
      <c r="K577">
        <v>1275</v>
      </c>
      <c r="L577">
        <v>24225</v>
      </c>
      <c r="M577">
        <v>7126.38</v>
      </c>
      <c r="N577" t="s">
        <v>21</v>
      </c>
      <c r="O577" t="s">
        <v>35</v>
      </c>
      <c r="P577" t="str">
        <f t="shared" si="16"/>
        <v>High Value</v>
      </c>
      <c r="Q577" t="str">
        <f t="shared" si="17"/>
        <v>High</v>
      </c>
      <c r="R577" t="str" cm="1">
        <f t="array" ref="R577">_xlfn.IFS(L577&gt;50000,"Premium",L577&gt;20000,"High",L577&gt;5000,"Medium",TRUE,"Low")</f>
        <v>High</v>
      </c>
    </row>
    <row r="578" spans="1:18" x14ac:dyDescent="0.3">
      <c r="A578" t="s">
        <v>1303</v>
      </c>
      <c r="B578" s="1">
        <v>45015</v>
      </c>
      <c r="C578" t="s">
        <v>277</v>
      </c>
      <c r="D578" t="s">
        <v>1304</v>
      </c>
      <c r="E578" t="s">
        <v>54</v>
      </c>
      <c r="F578" t="s">
        <v>60</v>
      </c>
      <c r="G578" t="s">
        <v>115</v>
      </c>
      <c r="H578">
        <v>1</v>
      </c>
      <c r="I578">
        <v>1800</v>
      </c>
      <c r="J578">
        <v>25</v>
      </c>
      <c r="K578">
        <v>450</v>
      </c>
      <c r="L578">
        <v>1350</v>
      </c>
      <c r="M578">
        <v>444.5</v>
      </c>
      <c r="N578" t="s">
        <v>34</v>
      </c>
      <c r="O578" t="s">
        <v>95</v>
      </c>
      <c r="P578" t="str">
        <f t="shared" si="16"/>
        <v>Low Value</v>
      </c>
      <c r="Q578" t="str">
        <f t="shared" si="17"/>
        <v>Low</v>
      </c>
      <c r="R578" t="str" cm="1">
        <f t="array" ref="R578">_xlfn.IFS(L578&gt;50000,"Premium",L578&gt;20000,"High",L578&gt;5000,"Medium",TRUE,"Low")</f>
        <v>Low</v>
      </c>
    </row>
    <row r="579" spans="1:18" x14ac:dyDescent="0.3">
      <c r="A579" t="s">
        <v>1305</v>
      </c>
      <c r="B579" s="1">
        <v>44976</v>
      </c>
      <c r="C579" t="s">
        <v>173</v>
      </c>
      <c r="D579" t="s">
        <v>1077</v>
      </c>
      <c r="E579" t="s">
        <v>26</v>
      </c>
      <c r="F579" t="s">
        <v>49</v>
      </c>
      <c r="G579" t="s">
        <v>603</v>
      </c>
      <c r="H579">
        <v>2</v>
      </c>
      <c r="I579">
        <v>449</v>
      </c>
      <c r="J579">
        <v>10</v>
      </c>
      <c r="K579">
        <v>89.8</v>
      </c>
      <c r="L579">
        <v>808.2</v>
      </c>
      <c r="M579">
        <v>272.17</v>
      </c>
      <c r="N579" t="s">
        <v>34</v>
      </c>
      <c r="O579" t="s">
        <v>22</v>
      </c>
      <c r="P579" t="str">
        <f t="shared" ref="P579:P642" si="18">IF(L579&gt;20000,"High Value","Low Value")</f>
        <v>Low Value</v>
      </c>
      <c r="Q579" t="str">
        <f t="shared" ref="Q579:Q642" si="19">IF(L579&gt;50000,"Premium",IF(L579&gt;20000,"High",IF(L579&gt;5000,"Medium","Low")))</f>
        <v>Low</v>
      </c>
      <c r="R579" t="str" cm="1">
        <f t="array" ref="R579">_xlfn.IFS(L579&gt;50000,"Premium",L579&gt;20000,"High",L579&gt;5000,"Medium",TRUE,"Low")</f>
        <v>Low</v>
      </c>
    </row>
    <row r="580" spans="1:18" x14ac:dyDescent="0.3">
      <c r="A580" t="s">
        <v>1306</v>
      </c>
      <c r="B580" s="1">
        <v>45257</v>
      </c>
      <c r="C580" t="s">
        <v>1307</v>
      </c>
      <c r="D580" t="s">
        <v>218</v>
      </c>
      <c r="E580" t="s">
        <v>83</v>
      </c>
      <c r="F580" t="s">
        <v>60</v>
      </c>
      <c r="G580" t="s">
        <v>291</v>
      </c>
      <c r="H580">
        <v>1</v>
      </c>
      <c r="I580">
        <v>450</v>
      </c>
      <c r="J580">
        <v>5</v>
      </c>
      <c r="K580">
        <v>22.5</v>
      </c>
      <c r="L580">
        <v>427.5</v>
      </c>
      <c r="M580">
        <v>126.16</v>
      </c>
      <c r="N580" t="s">
        <v>27</v>
      </c>
      <c r="O580" t="s">
        <v>22</v>
      </c>
      <c r="P580" t="str">
        <f t="shared" si="18"/>
        <v>Low Value</v>
      </c>
      <c r="Q580" t="str">
        <f t="shared" si="19"/>
        <v>Low</v>
      </c>
      <c r="R580" t="str" cm="1">
        <f t="array" ref="R580">_xlfn.IFS(L580&gt;50000,"Premium",L580&gt;20000,"High",L580&gt;5000,"Medium",TRUE,"Low")</f>
        <v>Low</v>
      </c>
    </row>
    <row r="581" spans="1:18" x14ac:dyDescent="0.3">
      <c r="A581" t="s">
        <v>1308</v>
      </c>
      <c r="B581" s="1">
        <v>45199</v>
      </c>
      <c r="C581" t="s">
        <v>1222</v>
      </c>
      <c r="D581" t="s">
        <v>1309</v>
      </c>
      <c r="E581" t="s">
        <v>78</v>
      </c>
      <c r="F581" t="s">
        <v>32</v>
      </c>
      <c r="G581" t="s">
        <v>259</v>
      </c>
      <c r="H581">
        <v>5</v>
      </c>
      <c r="I581">
        <v>450</v>
      </c>
      <c r="J581">
        <v>20</v>
      </c>
      <c r="K581">
        <v>450</v>
      </c>
      <c r="L581">
        <v>1800</v>
      </c>
      <c r="M581">
        <v>331.47</v>
      </c>
      <c r="N581" t="s">
        <v>41</v>
      </c>
      <c r="O581" t="s">
        <v>35</v>
      </c>
      <c r="P581" t="str">
        <f t="shared" si="18"/>
        <v>Low Value</v>
      </c>
      <c r="Q581" t="str">
        <f t="shared" si="19"/>
        <v>Low</v>
      </c>
      <c r="R581" t="str" cm="1">
        <f t="array" ref="R581">_xlfn.IFS(L581&gt;50000,"Premium",L581&gt;20000,"High",L581&gt;5000,"Medium",TRUE,"Low")</f>
        <v>Low</v>
      </c>
    </row>
    <row r="582" spans="1:18" x14ac:dyDescent="0.3">
      <c r="A582" t="s">
        <v>1310</v>
      </c>
      <c r="B582" s="1">
        <v>44972</v>
      </c>
      <c r="C582" t="s">
        <v>159</v>
      </c>
      <c r="D582" t="s">
        <v>602</v>
      </c>
      <c r="E582" t="s">
        <v>48</v>
      </c>
      <c r="F582" t="s">
        <v>74</v>
      </c>
      <c r="G582" t="s">
        <v>137</v>
      </c>
      <c r="H582">
        <v>5</v>
      </c>
      <c r="I582">
        <v>2500</v>
      </c>
      <c r="J582">
        <v>20</v>
      </c>
      <c r="K582">
        <v>2500</v>
      </c>
      <c r="L582">
        <v>10000</v>
      </c>
      <c r="M582">
        <v>1712.59</v>
      </c>
      <c r="N582" t="s">
        <v>21</v>
      </c>
      <c r="O582" t="s">
        <v>35</v>
      </c>
      <c r="P582" t="str">
        <f t="shared" si="18"/>
        <v>Low Value</v>
      </c>
      <c r="Q582" t="str">
        <f t="shared" si="19"/>
        <v>Medium</v>
      </c>
      <c r="R582" t="str" cm="1">
        <f t="array" ref="R582">_xlfn.IFS(L582&gt;50000,"Premium",L582&gt;20000,"High",L582&gt;5000,"Medium",TRUE,"Low")</f>
        <v>Medium</v>
      </c>
    </row>
    <row r="583" spans="1:18" x14ac:dyDescent="0.3">
      <c r="A583" t="s">
        <v>1311</v>
      </c>
      <c r="B583" s="1">
        <v>44927</v>
      </c>
      <c r="C583" t="s">
        <v>1233</v>
      </c>
      <c r="D583" t="s">
        <v>920</v>
      </c>
      <c r="E583" t="s">
        <v>26</v>
      </c>
      <c r="F583" t="s">
        <v>60</v>
      </c>
      <c r="G583" t="s">
        <v>61</v>
      </c>
      <c r="H583">
        <v>3</v>
      </c>
      <c r="I583">
        <v>850</v>
      </c>
      <c r="J583">
        <v>0</v>
      </c>
      <c r="K583">
        <v>0</v>
      </c>
      <c r="L583">
        <v>2550</v>
      </c>
      <c r="M583">
        <v>786.35</v>
      </c>
      <c r="N583" t="s">
        <v>21</v>
      </c>
      <c r="O583" t="s">
        <v>22</v>
      </c>
      <c r="P583" t="str">
        <f t="shared" si="18"/>
        <v>Low Value</v>
      </c>
      <c r="Q583" t="str">
        <f t="shared" si="19"/>
        <v>Low</v>
      </c>
      <c r="R583" t="str" cm="1">
        <f t="array" ref="R583">_xlfn.IFS(L583&gt;50000,"Premium",L583&gt;20000,"High",L583&gt;5000,"Medium",TRUE,"Low")</f>
        <v>Low</v>
      </c>
    </row>
    <row r="584" spans="1:18" x14ac:dyDescent="0.3">
      <c r="A584" t="s">
        <v>1312</v>
      </c>
      <c r="B584" s="1">
        <v>45247</v>
      </c>
      <c r="C584" t="s">
        <v>668</v>
      </c>
      <c r="D584" t="s">
        <v>878</v>
      </c>
      <c r="E584" t="s">
        <v>54</v>
      </c>
      <c r="F584" t="s">
        <v>32</v>
      </c>
      <c r="G584" t="s">
        <v>55</v>
      </c>
      <c r="H584">
        <v>4</v>
      </c>
      <c r="I584">
        <v>250</v>
      </c>
      <c r="J584">
        <v>15</v>
      </c>
      <c r="K584">
        <v>150</v>
      </c>
      <c r="L584">
        <v>850</v>
      </c>
      <c r="M584">
        <v>139.80000000000001</v>
      </c>
      <c r="N584" t="s">
        <v>27</v>
      </c>
      <c r="O584" t="s">
        <v>35</v>
      </c>
      <c r="P584" t="str">
        <f t="shared" si="18"/>
        <v>Low Value</v>
      </c>
      <c r="Q584" t="str">
        <f t="shared" si="19"/>
        <v>Low</v>
      </c>
      <c r="R584" t="str" cm="1">
        <f t="array" ref="R584">_xlfn.IFS(L584&gt;50000,"Premium",L584&gt;20000,"High",L584&gt;5000,"Medium",TRUE,"Low")</f>
        <v>Low</v>
      </c>
    </row>
    <row r="585" spans="1:18" x14ac:dyDescent="0.3">
      <c r="A585" t="s">
        <v>1313</v>
      </c>
      <c r="B585" s="1">
        <v>45211</v>
      </c>
      <c r="C585" t="s">
        <v>640</v>
      </c>
      <c r="D585" t="s">
        <v>1200</v>
      </c>
      <c r="E585" t="s">
        <v>59</v>
      </c>
      <c r="F585" t="s">
        <v>39</v>
      </c>
      <c r="G585" t="s">
        <v>209</v>
      </c>
      <c r="H585">
        <v>3</v>
      </c>
      <c r="I585">
        <v>3200</v>
      </c>
      <c r="J585">
        <v>15</v>
      </c>
      <c r="K585">
        <v>1440</v>
      </c>
      <c r="L585">
        <v>8160</v>
      </c>
      <c r="M585">
        <v>785.65</v>
      </c>
      <c r="N585" t="s">
        <v>99</v>
      </c>
      <c r="O585" t="s">
        <v>35</v>
      </c>
      <c r="P585" t="str">
        <f t="shared" si="18"/>
        <v>Low Value</v>
      </c>
      <c r="Q585" t="str">
        <f t="shared" si="19"/>
        <v>Medium</v>
      </c>
      <c r="R585" t="str" cm="1">
        <f t="array" ref="R585">_xlfn.IFS(L585&gt;50000,"Premium",L585&gt;20000,"High",L585&gt;5000,"Medium",TRUE,"Low")</f>
        <v>Medium</v>
      </c>
    </row>
    <row r="586" spans="1:18" x14ac:dyDescent="0.3">
      <c r="A586" t="s">
        <v>1314</v>
      </c>
      <c r="B586" s="1">
        <v>45000</v>
      </c>
      <c r="C586" t="s">
        <v>1315</v>
      </c>
      <c r="D586" t="s">
        <v>626</v>
      </c>
      <c r="E586" t="s">
        <v>26</v>
      </c>
      <c r="F586" t="s">
        <v>60</v>
      </c>
      <c r="G586" t="s">
        <v>365</v>
      </c>
      <c r="H586">
        <v>4</v>
      </c>
      <c r="I586">
        <v>650</v>
      </c>
      <c r="J586">
        <v>5</v>
      </c>
      <c r="K586">
        <v>130</v>
      </c>
      <c r="L586">
        <v>2470</v>
      </c>
      <c r="M586">
        <v>186.24</v>
      </c>
      <c r="N586" t="s">
        <v>21</v>
      </c>
      <c r="O586" t="s">
        <v>35</v>
      </c>
      <c r="P586" t="str">
        <f t="shared" si="18"/>
        <v>Low Value</v>
      </c>
      <c r="Q586" t="str">
        <f t="shared" si="19"/>
        <v>Low</v>
      </c>
      <c r="R586" t="str" cm="1">
        <f t="array" ref="R586">_xlfn.IFS(L586&gt;50000,"Premium",L586&gt;20000,"High",L586&gt;5000,"Medium",TRUE,"Low")</f>
        <v>Low</v>
      </c>
    </row>
    <row r="587" spans="1:18" x14ac:dyDescent="0.3">
      <c r="A587" t="s">
        <v>1316</v>
      </c>
      <c r="B587" s="1">
        <v>45159</v>
      </c>
      <c r="C587" t="s">
        <v>752</v>
      </c>
      <c r="D587" t="s">
        <v>73</v>
      </c>
      <c r="E587" t="s">
        <v>59</v>
      </c>
      <c r="F587" t="s">
        <v>74</v>
      </c>
      <c r="G587" t="s">
        <v>75</v>
      </c>
      <c r="H587">
        <v>5</v>
      </c>
      <c r="I587">
        <v>2200</v>
      </c>
      <c r="J587">
        <v>15</v>
      </c>
      <c r="K587">
        <v>1650</v>
      </c>
      <c r="L587">
        <v>9350</v>
      </c>
      <c r="M587">
        <v>1546.62</v>
      </c>
      <c r="N587" t="s">
        <v>21</v>
      </c>
      <c r="O587" t="s">
        <v>22</v>
      </c>
      <c r="P587" t="str">
        <f t="shared" si="18"/>
        <v>Low Value</v>
      </c>
      <c r="Q587" t="str">
        <f t="shared" si="19"/>
        <v>Medium</v>
      </c>
      <c r="R587" t="str" cm="1">
        <f t="array" ref="R587">_xlfn.IFS(L587&gt;50000,"Premium",L587&gt;20000,"High",L587&gt;5000,"Medium",TRUE,"Low")</f>
        <v>Medium</v>
      </c>
    </row>
    <row r="588" spans="1:18" x14ac:dyDescent="0.3">
      <c r="A588" t="s">
        <v>1317</v>
      </c>
      <c r="B588" s="1">
        <v>45048</v>
      </c>
      <c r="C588" t="s">
        <v>1318</v>
      </c>
      <c r="D588" t="s">
        <v>1053</v>
      </c>
      <c r="E588" t="s">
        <v>59</v>
      </c>
      <c r="F588" t="s">
        <v>60</v>
      </c>
      <c r="G588" t="s">
        <v>61</v>
      </c>
      <c r="H588">
        <v>3</v>
      </c>
      <c r="I588">
        <v>850</v>
      </c>
      <c r="J588">
        <v>15</v>
      </c>
      <c r="K588">
        <v>382.5</v>
      </c>
      <c r="L588">
        <v>2167.5</v>
      </c>
      <c r="M588">
        <v>710.87</v>
      </c>
      <c r="N588" t="s">
        <v>21</v>
      </c>
      <c r="O588" t="s">
        <v>22</v>
      </c>
      <c r="P588" t="str">
        <f t="shared" si="18"/>
        <v>Low Value</v>
      </c>
      <c r="Q588" t="str">
        <f t="shared" si="19"/>
        <v>Low</v>
      </c>
      <c r="R588" t="str" cm="1">
        <f t="array" ref="R588">_xlfn.IFS(L588&gt;50000,"Premium",L588&gt;20000,"High",L588&gt;5000,"Medium",TRUE,"Low")</f>
        <v>Low</v>
      </c>
    </row>
    <row r="589" spans="1:18" x14ac:dyDescent="0.3">
      <c r="A589" t="s">
        <v>1319</v>
      </c>
      <c r="B589" s="1">
        <v>45287</v>
      </c>
      <c r="C589" t="s">
        <v>890</v>
      </c>
      <c r="D589" t="s">
        <v>1320</v>
      </c>
      <c r="E589" t="s">
        <v>78</v>
      </c>
      <c r="F589" t="s">
        <v>32</v>
      </c>
      <c r="G589" t="s">
        <v>253</v>
      </c>
      <c r="H589">
        <v>5</v>
      </c>
      <c r="I589">
        <v>350</v>
      </c>
      <c r="J589">
        <v>15</v>
      </c>
      <c r="K589">
        <v>262.5</v>
      </c>
      <c r="L589">
        <v>1487.5</v>
      </c>
      <c r="M589">
        <v>503.55</v>
      </c>
      <c r="N589" t="s">
        <v>41</v>
      </c>
      <c r="O589" t="s">
        <v>95</v>
      </c>
      <c r="P589" t="str">
        <f t="shared" si="18"/>
        <v>Low Value</v>
      </c>
      <c r="Q589" t="str">
        <f t="shared" si="19"/>
        <v>Low</v>
      </c>
      <c r="R589" t="str" cm="1">
        <f t="array" ref="R589">_xlfn.IFS(L589&gt;50000,"Premium",L589&gt;20000,"High",L589&gt;5000,"Medium",TRUE,"Low")</f>
        <v>Low</v>
      </c>
    </row>
    <row r="590" spans="1:18" x14ac:dyDescent="0.3">
      <c r="A590" t="s">
        <v>1321</v>
      </c>
      <c r="B590" s="1">
        <v>44967</v>
      </c>
      <c r="C590" t="s">
        <v>808</v>
      </c>
      <c r="D590" t="s">
        <v>1099</v>
      </c>
      <c r="E590" t="s">
        <v>78</v>
      </c>
      <c r="F590" t="s">
        <v>74</v>
      </c>
      <c r="G590" t="s">
        <v>144</v>
      </c>
      <c r="H590">
        <v>1</v>
      </c>
      <c r="I590">
        <v>1500</v>
      </c>
      <c r="J590">
        <v>5</v>
      </c>
      <c r="K590">
        <v>75</v>
      </c>
      <c r="L590">
        <v>1425</v>
      </c>
      <c r="M590">
        <v>273.22000000000003</v>
      </c>
      <c r="N590" t="s">
        <v>21</v>
      </c>
      <c r="O590" t="s">
        <v>35</v>
      </c>
      <c r="P590" t="str">
        <f t="shared" si="18"/>
        <v>Low Value</v>
      </c>
      <c r="Q590" t="str">
        <f t="shared" si="19"/>
        <v>Low</v>
      </c>
      <c r="R590" t="str" cm="1">
        <f t="array" ref="R590">_xlfn.IFS(L590&gt;50000,"Premium",L590&gt;20000,"High",L590&gt;5000,"Medium",TRUE,"Low")</f>
        <v>Low</v>
      </c>
    </row>
    <row r="591" spans="1:18" x14ac:dyDescent="0.3">
      <c r="A591" t="s">
        <v>1322</v>
      </c>
      <c r="B591" s="1">
        <v>45102</v>
      </c>
      <c r="C591" t="s">
        <v>701</v>
      </c>
      <c r="D591" t="s">
        <v>886</v>
      </c>
      <c r="E591" t="s">
        <v>48</v>
      </c>
      <c r="F591" t="s">
        <v>74</v>
      </c>
      <c r="G591" t="s">
        <v>250</v>
      </c>
      <c r="H591">
        <v>1</v>
      </c>
      <c r="I591">
        <v>3500</v>
      </c>
      <c r="J591">
        <v>15</v>
      </c>
      <c r="K591">
        <v>525</v>
      </c>
      <c r="L591">
        <v>2975</v>
      </c>
      <c r="M591">
        <v>553.98</v>
      </c>
      <c r="N591" t="s">
        <v>41</v>
      </c>
      <c r="O591" t="s">
        <v>35</v>
      </c>
      <c r="P591" t="str">
        <f t="shared" si="18"/>
        <v>Low Value</v>
      </c>
      <c r="Q591" t="str">
        <f t="shared" si="19"/>
        <v>Low</v>
      </c>
      <c r="R591" t="str" cm="1">
        <f t="array" ref="R591">_xlfn.IFS(L591&gt;50000,"Premium",L591&gt;20000,"High",L591&gt;5000,"Medium",TRUE,"Low")</f>
        <v>Low</v>
      </c>
    </row>
    <row r="592" spans="1:18" x14ac:dyDescent="0.3">
      <c r="A592" t="s">
        <v>1323</v>
      </c>
      <c r="B592" s="1">
        <v>45077</v>
      </c>
      <c r="C592" t="s">
        <v>374</v>
      </c>
      <c r="D592" t="s">
        <v>572</v>
      </c>
      <c r="E592" t="s">
        <v>78</v>
      </c>
      <c r="F592" t="s">
        <v>32</v>
      </c>
      <c r="G592" t="s">
        <v>148</v>
      </c>
      <c r="H592">
        <v>1</v>
      </c>
      <c r="I592">
        <v>120</v>
      </c>
      <c r="J592">
        <v>25</v>
      </c>
      <c r="K592">
        <v>30</v>
      </c>
      <c r="L592">
        <v>90</v>
      </c>
      <c r="M592">
        <v>29.42</v>
      </c>
      <c r="N592" t="s">
        <v>99</v>
      </c>
      <c r="O592" t="s">
        <v>22</v>
      </c>
      <c r="P592" t="str">
        <f t="shared" si="18"/>
        <v>Low Value</v>
      </c>
      <c r="Q592" t="str">
        <f t="shared" si="19"/>
        <v>Low</v>
      </c>
      <c r="R592" t="str" cm="1">
        <f t="array" ref="R592">_xlfn.IFS(L592&gt;50000,"Premium",L592&gt;20000,"High",L592&gt;5000,"Medium",TRUE,"Low")</f>
        <v>Low</v>
      </c>
    </row>
    <row r="593" spans="1:18" x14ac:dyDescent="0.3">
      <c r="A593" t="s">
        <v>1324</v>
      </c>
      <c r="B593" s="1">
        <v>45223</v>
      </c>
      <c r="C593" t="s">
        <v>1325</v>
      </c>
      <c r="D593" t="s">
        <v>391</v>
      </c>
      <c r="E593" t="s">
        <v>78</v>
      </c>
      <c r="F593" t="s">
        <v>69</v>
      </c>
      <c r="G593" t="s">
        <v>243</v>
      </c>
      <c r="H593">
        <v>1</v>
      </c>
      <c r="I593">
        <v>1999</v>
      </c>
      <c r="J593">
        <v>25</v>
      </c>
      <c r="K593">
        <v>499.75</v>
      </c>
      <c r="L593">
        <v>1499.25</v>
      </c>
      <c r="M593">
        <v>520.4</v>
      </c>
      <c r="N593" t="s">
        <v>41</v>
      </c>
      <c r="O593" t="s">
        <v>35</v>
      </c>
      <c r="P593" t="str">
        <f t="shared" si="18"/>
        <v>Low Value</v>
      </c>
      <c r="Q593" t="str">
        <f t="shared" si="19"/>
        <v>Low</v>
      </c>
      <c r="R593" t="str" cm="1">
        <f t="array" ref="R593">_xlfn.IFS(L593&gt;50000,"Premium",L593&gt;20000,"High",L593&gt;5000,"Medium",TRUE,"Low")</f>
        <v>Low</v>
      </c>
    </row>
    <row r="594" spans="1:18" x14ac:dyDescent="0.3">
      <c r="A594" t="s">
        <v>1326</v>
      </c>
      <c r="B594" s="1">
        <v>44991</v>
      </c>
      <c r="C594" t="s">
        <v>1122</v>
      </c>
      <c r="D594" t="s">
        <v>1057</v>
      </c>
      <c r="E594" t="s">
        <v>59</v>
      </c>
      <c r="F594" t="s">
        <v>74</v>
      </c>
      <c r="G594" t="s">
        <v>137</v>
      </c>
      <c r="H594">
        <v>3</v>
      </c>
      <c r="I594">
        <v>2500</v>
      </c>
      <c r="J594">
        <v>10</v>
      </c>
      <c r="K594">
        <v>750</v>
      </c>
      <c r="L594">
        <v>6750</v>
      </c>
      <c r="M594">
        <v>605.89</v>
      </c>
      <c r="N594" t="s">
        <v>99</v>
      </c>
      <c r="O594" t="s">
        <v>95</v>
      </c>
      <c r="P594" t="str">
        <f t="shared" si="18"/>
        <v>Low Value</v>
      </c>
      <c r="Q594" t="str">
        <f t="shared" si="19"/>
        <v>Medium</v>
      </c>
      <c r="R594" t="str" cm="1">
        <f t="array" ref="R594">_xlfn.IFS(L594&gt;50000,"Premium",L594&gt;20000,"High",L594&gt;5000,"Medium",TRUE,"Low")</f>
        <v>Medium</v>
      </c>
    </row>
    <row r="595" spans="1:18" x14ac:dyDescent="0.3">
      <c r="A595" t="s">
        <v>1327</v>
      </c>
      <c r="B595" s="1">
        <v>45016</v>
      </c>
      <c r="C595" t="s">
        <v>37</v>
      </c>
      <c r="D595" t="s">
        <v>93</v>
      </c>
      <c r="E595" t="s">
        <v>31</v>
      </c>
      <c r="F595" t="s">
        <v>74</v>
      </c>
      <c r="G595" t="s">
        <v>192</v>
      </c>
      <c r="H595">
        <v>2</v>
      </c>
      <c r="I595">
        <v>12000</v>
      </c>
      <c r="J595">
        <v>25</v>
      </c>
      <c r="K595">
        <v>6000</v>
      </c>
      <c r="L595">
        <v>18000</v>
      </c>
      <c r="M595">
        <v>3311.93</v>
      </c>
      <c r="N595" t="s">
        <v>41</v>
      </c>
      <c r="O595" t="s">
        <v>35</v>
      </c>
      <c r="P595" t="str">
        <f t="shared" si="18"/>
        <v>Low Value</v>
      </c>
      <c r="Q595" t="str">
        <f t="shared" si="19"/>
        <v>Medium</v>
      </c>
      <c r="R595" t="str" cm="1">
        <f t="array" ref="R595">_xlfn.IFS(L595&gt;50000,"Premium",L595&gt;20000,"High",L595&gt;5000,"Medium",TRUE,"Low")</f>
        <v>Medium</v>
      </c>
    </row>
    <row r="596" spans="1:18" x14ac:dyDescent="0.3">
      <c r="A596" t="s">
        <v>1328</v>
      </c>
      <c r="B596" s="1">
        <v>45197</v>
      </c>
      <c r="C596" t="s">
        <v>706</v>
      </c>
      <c r="D596" t="s">
        <v>1270</v>
      </c>
      <c r="E596" t="s">
        <v>26</v>
      </c>
      <c r="F596" t="s">
        <v>49</v>
      </c>
      <c r="G596" t="s">
        <v>50</v>
      </c>
      <c r="H596">
        <v>3</v>
      </c>
      <c r="I596">
        <v>499</v>
      </c>
      <c r="J596">
        <v>0</v>
      </c>
      <c r="K596">
        <v>0</v>
      </c>
      <c r="L596">
        <v>1497</v>
      </c>
      <c r="M596">
        <v>509.28</v>
      </c>
      <c r="N596" t="s">
        <v>41</v>
      </c>
      <c r="O596" t="s">
        <v>35</v>
      </c>
      <c r="P596" t="str">
        <f t="shared" si="18"/>
        <v>Low Value</v>
      </c>
      <c r="Q596" t="str">
        <f t="shared" si="19"/>
        <v>Low</v>
      </c>
      <c r="R596" t="str" cm="1">
        <f t="array" ref="R596">_xlfn.IFS(L596&gt;50000,"Premium",L596&gt;20000,"High",L596&gt;5000,"Medium",TRUE,"Low")</f>
        <v>Low</v>
      </c>
    </row>
    <row r="597" spans="1:18" x14ac:dyDescent="0.3">
      <c r="A597" t="s">
        <v>1329</v>
      </c>
      <c r="B597" s="1">
        <v>45265</v>
      </c>
      <c r="C597" t="s">
        <v>671</v>
      </c>
      <c r="D597" t="s">
        <v>1053</v>
      </c>
      <c r="E597" t="s">
        <v>78</v>
      </c>
      <c r="F597" t="s">
        <v>39</v>
      </c>
      <c r="G597" t="s">
        <v>213</v>
      </c>
      <c r="H597">
        <v>2</v>
      </c>
      <c r="I597">
        <v>15000</v>
      </c>
      <c r="J597">
        <v>5</v>
      </c>
      <c r="K597">
        <v>1500</v>
      </c>
      <c r="L597">
        <v>28500</v>
      </c>
      <c r="M597">
        <v>6364.83</v>
      </c>
      <c r="N597" t="s">
        <v>99</v>
      </c>
      <c r="O597" t="s">
        <v>35</v>
      </c>
      <c r="P597" t="str">
        <f t="shared" si="18"/>
        <v>High Value</v>
      </c>
      <c r="Q597" t="str">
        <f t="shared" si="19"/>
        <v>High</v>
      </c>
      <c r="R597" t="str" cm="1">
        <f t="array" ref="R597">_xlfn.IFS(L597&gt;50000,"Premium",L597&gt;20000,"High",L597&gt;5000,"Medium",TRUE,"Low")</f>
        <v>High</v>
      </c>
    </row>
    <row r="598" spans="1:18" x14ac:dyDescent="0.3">
      <c r="A598" t="s">
        <v>1330</v>
      </c>
      <c r="B598" s="1">
        <v>45012</v>
      </c>
      <c r="C598" t="s">
        <v>181</v>
      </c>
      <c r="D598" t="s">
        <v>1331</v>
      </c>
      <c r="E598" t="s">
        <v>26</v>
      </c>
      <c r="F598" t="s">
        <v>39</v>
      </c>
      <c r="G598" t="s">
        <v>219</v>
      </c>
      <c r="H598">
        <v>4</v>
      </c>
      <c r="I598">
        <v>18000</v>
      </c>
      <c r="J598">
        <v>10</v>
      </c>
      <c r="K598">
        <v>7200</v>
      </c>
      <c r="L598">
        <v>64800</v>
      </c>
      <c r="M598">
        <v>12498.62</v>
      </c>
      <c r="N598" t="s">
        <v>41</v>
      </c>
      <c r="O598" t="s">
        <v>22</v>
      </c>
      <c r="P598" t="str">
        <f t="shared" si="18"/>
        <v>High Value</v>
      </c>
      <c r="Q598" t="str">
        <f t="shared" si="19"/>
        <v>Premium</v>
      </c>
      <c r="R598" t="str" cm="1">
        <f t="array" ref="R598">_xlfn.IFS(L598&gt;50000,"Premium",L598&gt;20000,"High",L598&gt;5000,"Medium",TRUE,"Low")</f>
        <v>Premium</v>
      </c>
    </row>
    <row r="599" spans="1:18" x14ac:dyDescent="0.3">
      <c r="A599" t="s">
        <v>1332</v>
      </c>
      <c r="B599" s="1">
        <v>45061</v>
      </c>
      <c r="C599" t="s">
        <v>1333</v>
      </c>
      <c r="D599" t="s">
        <v>512</v>
      </c>
      <c r="E599" t="s">
        <v>48</v>
      </c>
      <c r="F599" t="s">
        <v>69</v>
      </c>
      <c r="G599" t="s">
        <v>243</v>
      </c>
      <c r="H599">
        <v>4</v>
      </c>
      <c r="I599">
        <v>1999</v>
      </c>
      <c r="J599">
        <v>0</v>
      </c>
      <c r="K599">
        <v>0</v>
      </c>
      <c r="L599">
        <v>7996</v>
      </c>
      <c r="M599">
        <v>1092.55</v>
      </c>
      <c r="N599" t="s">
        <v>21</v>
      </c>
      <c r="O599" t="s">
        <v>35</v>
      </c>
      <c r="P599" t="str">
        <f t="shared" si="18"/>
        <v>Low Value</v>
      </c>
      <c r="Q599" t="str">
        <f t="shared" si="19"/>
        <v>Medium</v>
      </c>
      <c r="R599" t="str" cm="1">
        <f t="array" ref="R599">_xlfn.IFS(L599&gt;50000,"Premium",L599&gt;20000,"High",L599&gt;5000,"Medium",TRUE,"Low")</f>
        <v>Medium</v>
      </c>
    </row>
    <row r="600" spans="1:18" x14ac:dyDescent="0.3">
      <c r="A600" t="s">
        <v>1334</v>
      </c>
      <c r="B600" s="1">
        <v>44976</v>
      </c>
      <c r="C600" t="s">
        <v>1335</v>
      </c>
      <c r="D600" t="s">
        <v>1336</v>
      </c>
      <c r="E600" t="s">
        <v>78</v>
      </c>
      <c r="F600" t="s">
        <v>74</v>
      </c>
      <c r="G600" t="s">
        <v>192</v>
      </c>
      <c r="H600">
        <v>3</v>
      </c>
      <c r="I600">
        <v>12000</v>
      </c>
      <c r="J600">
        <v>15</v>
      </c>
      <c r="K600">
        <v>5400</v>
      </c>
      <c r="L600">
        <v>30600</v>
      </c>
      <c r="M600">
        <v>7134.26</v>
      </c>
      <c r="N600" t="s">
        <v>34</v>
      </c>
      <c r="O600" t="s">
        <v>35</v>
      </c>
      <c r="P600" t="str">
        <f t="shared" si="18"/>
        <v>High Value</v>
      </c>
      <c r="Q600" t="str">
        <f t="shared" si="19"/>
        <v>High</v>
      </c>
      <c r="R600" t="str" cm="1">
        <f t="array" ref="R600">_xlfn.IFS(L600&gt;50000,"Premium",L600&gt;20000,"High",L600&gt;5000,"Medium",TRUE,"Low")</f>
        <v>High</v>
      </c>
    </row>
    <row r="601" spans="1:18" x14ac:dyDescent="0.3">
      <c r="A601" t="s">
        <v>1337</v>
      </c>
      <c r="B601" s="1">
        <v>45057</v>
      </c>
      <c r="C601" t="s">
        <v>374</v>
      </c>
      <c r="D601" t="s">
        <v>643</v>
      </c>
      <c r="E601" t="s">
        <v>31</v>
      </c>
      <c r="F601" t="s">
        <v>60</v>
      </c>
      <c r="G601" t="s">
        <v>61</v>
      </c>
      <c r="H601">
        <v>4</v>
      </c>
      <c r="I601">
        <v>850</v>
      </c>
      <c r="J601">
        <v>15</v>
      </c>
      <c r="K601">
        <v>510</v>
      </c>
      <c r="L601">
        <v>2890</v>
      </c>
      <c r="M601">
        <v>814.82</v>
      </c>
      <c r="N601" t="s">
        <v>21</v>
      </c>
      <c r="O601" t="s">
        <v>35</v>
      </c>
      <c r="P601" t="str">
        <f t="shared" si="18"/>
        <v>Low Value</v>
      </c>
      <c r="Q601" t="str">
        <f t="shared" si="19"/>
        <v>Low</v>
      </c>
      <c r="R601" t="str" cm="1">
        <f t="array" ref="R601">_xlfn.IFS(L601&gt;50000,"Premium",L601&gt;20000,"High",L601&gt;5000,"Medium",TRUE,"Low")</f>
        <v>Low</v>
      </c>
    </row>
    <row r="602" spans="1:18" x14ac:dyDescent="0.3">
      <c r="A602" t="s">
        <v>1338</v>
      </c>
      <c r="B602" s="1">
        <v>45273</v>
      </c>
      <c r="C602" t="s">
        <v>681</v>
      </c>
      <c r="D602" t="s">
        <v>800</v>
      </c>
      <c r="E602" t="s">
        <v>26</v>
      </c>
      <c r="F602" t="s">
        <v>60</v>
      </c>
      <c r="G602" t="s">
        <v>165</v>
      </c>
      <c r="H602">
        <v>3</v>
      </c>
      <c r="I602">
        <v>300</v>
      </c>
      <c r="J602">
        <v>20</v>
      </c>
      <c r="K602">
        <v>180</v>
      </c>
      <c r="L602">
        <v>720</v>
      </c>
      <c r="M602">
        <v>38.28</v>
      </c>
      <c r="N602" t="s">
        <v>99</v>
      </c>
      <c r="O602" t="s">
        <v>95</v>
      </c>
      <c r="P602" t="str">
        <f t="shared" si="18"/>
        <v>Low Value</v>
      </c>
      <c r="Q602" t="str">
        <f t="shared" si="19"/>
        <v>Low</v>
      </c>
      <c r="R602" t="str" cm="1">
        <f t="array" ref="R602">_xlfn.IFS(L602&gt;50000,"Premium",L602&gt;20000,"High",L602&gt;5000,"Medium",TRUE,"Low")</f>
        <v>Low</v>
      </c>
    </row>
    <row r="603" spans="1:18" x14ac:dyDescent="0.3">
      <c r="A603" t="s">
        <v>1339</v>
      </c>
      <c r="B603" s="1">
        <v>44980</v>
      </c>
      <c r="C603" t="s">
        <v>1138</v>
      </c>
      <c r="D603" t="s">
        <v>508</v>
      </c>
      <c r="E603" t="s">
        <v>59</v>
      </c>
      <c r="F603" t="s">
        <v>60</v>
      </c>
      <c r="G603" t="s">
        <v>365</v>
      </c>
      <c r="H603">
        <v>3</v>
      </c>
      <c r="I603">
        <v>650</v>
      </c>
      <c r="J603">
        <v>5</v>
      </c>
      <c r="K603">
        <v>97.5</v>
      </c>
      <c r="L603">
        <v>1852.5</v>
      </c>
      <c r="M603">
        <v>495.68</v>
      </c>
      <c r="N603" t="s">
        <v>21</v>
      </c>
      <c r="O603" t="s">
        <v>35</v>
      </c>
      <c r="P603" t="str">
        <f t="shared" si="18"/>
        <v>Low Value</v>
      </c>
      <c r="Q603" t="str">
        <f t="shared" si="19"/>
        <v>Low</v>
      </c>
      <c r="R603" t="str" cm="1">
        <f t="array" ref="R603">_xlfn.IFS(L603&gt;50000,"Premium",L603&gt;20000,"High",L603&gt;5000,"Medium",TRUE,"Low")</f>
        <v>Low</v>
      </c>
    </row>
    <row r="604" spans="1:18" x14ac:dyDescent="0.3">
      <c r="A604" t="s">
        <v>1340</v>
      </c>
      <c r="B604" s="1">
        <v>44956</v>
      </c>
      <c r="C604" t="s">
        <v>1341</v>
      </c>
      <c r="D604" t="s">
        <v>831</v>
      </c>
      <c r="E604" t="s">
        <v>83</v>
      </c>
      <c r="F604" t="s">
        <v>74</v>
      </c>
      <c r="G604" t="s">
        <v>192</v>
      </c>
      <c r="H604">
        <v>2</v>
      </c>
      <c r="I604">
        <v>12000</v>
      </c>
      <c r="J604">
        <v>20</v>
      </c>
      <c r="K604">
        <v>4800</v>
      </c>
      <c r="L604">
        <v>19200</v>
      </c>
      <c r="M604">
        <v>4635.3599999999997</v>
      </c>
      <c r="N604" t="s">
        <v>41</v>
      </c>
      <c r="O604" t="s">
        <v>95</v>
      </c>
      <c r="P604" t="str">
        <f t="shared" si="18"/>
        <v>Low Value</v>
      </c>
      <c r="Q604" t="str">
        <f t="shared" si="19"/>
        <v>Medium</v>
      </c>
      <c r="R604" t="str" cm="1">
        <f t="array" ref="R604">_xlfn.IFS(L604&gt;50000,"Premium",L604&gt;20000,"High",L604&gt;5000,"Medium",TRUE,"Low")</f>
        <v>Medium</v>
      </c>
    </row>
    <row r="605" spans="1:18" x14ac:dyDescent="0.3">
      <c r="A605" t="s">
        <v>1342</v>
      </c>
      <c r="B605" s="1">
        <v>45021</v>
      </c>
      <c r="C605" t="s">
        <v>645</v>
      </c>
      <c r="D605" t="s">
        <v>118</v>
      </c>
      <c r="E605" t="s">
        <v>78</v>
      </c>
      <c r="F605" t="s">
        <v>19</v>
      </c>
      <c r="G605" t="s">
        <v>236</v>
      </c>
      <c r="H605">
        <v>2</v>
      </c>
      <c r="I605">
        <v>800</v>
      </c>
      <c r="J605">
        <v>10</v>
      </c>
      <c r="K605">
        <v>160</v>
      </c>
      <c r="L605">
        <v>1440</v>
      </c>
      <c r="M605">
        <v>199.25</v>
      </c>
      <c r="N605" t="s">
        <v>41</v>
      </c>
      <c r="O605" t="s">
        <v>35</v>
      </c>
      <c r="P605" t="str">
        <f t="shared" si="18"/>
        <v>Low Value</v>
      </c>
      <c r="Q605" t="str">
        <f t="shared" si="19"/>
        <v>Low</v>
      </c>
      <c r="R605" t="str" cm="1">
        <f t="array" ref="R605">_xlfn.IFS(L605&gt;50000,"Premium",L605&gt;20000,"High",L605&gt;5000,"Medium",TRUE,"Low")</f>
        <v>Low</v>
      </c>
    </row>
    <row r="606" spans="1:18" x14ac:dyDescent="0.3">
      <c r="A606" t="s">
        <v>1343</v>
      </c>
      <c r="B606" s="1">
        <v>45058</v>
      </c>
      <c r="C606" t="s">
        <v>336</v>
      </c>
      <c r="D606" t="s">
        <v>258</v>
      </c>
      <c r="E606" t="s">
        <v>59</v>
      </c>
      <c r="F606" t="s">
        <v>69</v>
      </c>
      <c r="G606" t="s">
        <v>111</v>
      </c>
      <c r="H606">
        <v>1</v>
      </c>
      <c r="I606">
        <v>3499</v>
      </c>
      <c r="J606">
        <v>10</v>
      </c>
      <c r="K606">
        <v>349.9</v>
      </c>
      <c r="L606">
        <v>3149.1</v>
      </c>
      <c r="M606">
        <v>891.61</v>
      </c>
      <c r="N606" t="s">
        <v>34</v>
      </c>
      <c r="O606" t="s">
        <v>35</v>
      </c>
      <c r="P606" t="str">
        <f t="shared" si="18"/>
        <v>Low Value</v>
      </c>
      <c r="Q606" t="str">
        <f t="shared" si="19"/>
        <v>Low</v>
      </c>
      <c r="R606" t="str" cm="1">
        <f t="array" ref="R606">_xlfn.IFS(L606&gt;50000,"Premium",L606&gt;20000,"High",L606&gt;5000,"Medium",TRUE,"Low")</f>
        <v>Low</v>
      </c>
    </row>
    <row r="607" spans="1:18" x14ac:dyDescent="0.3">
      <c r="A607" t="s">
        <v>1344</v>
      </c>
      <c r="B607" s="1">
        <v>45018</v>
      </c>
      <c r="C607" t="s">
        <v>1247</v>
      </c>
      <c r="D607" t="s">
        <v>1304</v>
      </c>
      <c r="E607" t="s">
        <v>83</v>
      </c>
      <c r="F607" t="s">
        <v>39</v>
      </c>
      <c r="G607" t="s">
        <v>40</v>
      </c>
      <c r="H607">
        <v>4</v>
      </c>
      <c r="I607">
        <v>8500</v>
      </c>
      <c r="J607">
        <v>5</v>
      </c>
      <c r="K607">
        <v>1700</v>
      </c>
      <c r="L607">
        <v>32300</v>
      </c>
      <c r="M607">
        <v>7528.83</v>
      </c>
      <c r="N607" t="s">
        <v>21</v>
      </c>
      <c r="O607" t="s">
        <v>22</v>
      </c>
      <c r="P607" t="str">
        <f t="shared" si="18"/>
        <v>High Value</v>
      </c>
      <c r="Q607" t="str">
        <f t="shared" si="19"/>
        <v>High</v>
      </c>
      <c r="R607" t="str" cm="1">
        <f t="array" ref="R607">_xlfn.IFS(L607&gt;50000,"Premium",L607&gt;20000,"High",L607&gt;5000,"Medium",TRUE,"Low")</f>
        <v>High</v>
      </c>
    </row>
    <row r="608" spans="1:18" x14ac:dyDescent="0.3">
      <c r="A608" t="s">
        <v>1345</v>
      </c>
      <c r="B608" s="1">
        <v>45038</v>
      </c>
      <c r="C608" t="s">
        <v>1346</v>
      </c>
      <c r="D608" t="s">
        <v>425</v>
      </c>
      <c r="E608" t="s">
        <v>18</v>
      </c>
      <c r="F608" t="s">
        <v>74</v>
      </c>
      <c r="G608" t="s">
        <v>192</v>
      </c>
      <c r="H608">
        <v>1</v>
      </c>
      <c r="I608">
        <v>12000</v>
      </c>
      <c r="J608">
        <v>15</v>
      </c>
      <c r="K608">
        <v>1800</v>
      </c>
      <c r="L608">
        <v>10200</v>
      </c>
      <c r="M608">
        <v>2699.12</v>
      </c>
      <c r="N608" t="s">
        <v>21</v>
      </c>
      <c r="O608" t="s">
        <v>35</v>
      </c>
      <c r="P608" t="str">
        <f t="shared" si="18"/>
        <v>Low Value</v>
      </c>
      <c r="Q608" t="str">
        <f t="shared" si="19"/>
        <v>Medium</v>
      </c>
      <c r="R608" t="str" cm="1">
        <f t="array" ref="R608">_xlfn.IFS(L608&gt;50000,"Premium",L608&gt;20000,"High",L608&gt;5000,"Medium",TRUE,"Low")</f>
        <v>Medium</v>
      </c>
    </row>
    <row r="609" spans="1:18" x14ac:dyDescent="0.3">
      <c r="A609" t="s">
        <v>1347</v>
      </c>
      <c r="B609" s="1">
        <v>45155</v>
      </c>
      <c r="C609" t="s">
        <v>1282</v>
      </c>
      <c r="D609" t="s">
        <v>820</v>
      </c>
      <c r="E609" t="s">
        <v>78</v>
      </c>
      <c r="F609" t="s">
        <v>19</v>
      </c>
      <c r="G609" t="s">
        <v>229</v>
      </c>
      <c r="H609">
        <v>2</v>
      </c>
      <c r="I609">
        <v>8000</v>
      </c>
      <c r="J609">
        <v>25</v>
      </c>
      <c r="K609">
        <v>4000</v>
      </c>
      <c r="L609">
        <v>12000</v>
      </c>
      <c r="M609">
        <v>2905.21</v>
      </c>
      <c r="N609" t="s">
        <v>27</v>
      </c>
      <c r="O609" t="s">
        <v>35</v>
      </c>
      <c r="P609" t="str">
        <f t="shared" si="18"/>
        <v>Low Value</v>
      </c>
      <c r="Q609" t="str">
        <f t="shared" si="19"/>
        <v>Medium</v>
      </c>
      <c r="R609" t="str" cm="1">
        <f t="array" ref="R609">_xlfn.IFS(L609&gt;50000,"Premium",L609&gt;20000,"High",L609&gt;5000,"Medium",TRUE,"Low")</f>
        <v>Medium</v>
      </c>
    </row>
    <row r="610" spans="1:18" x14ac:dyDescent="0.3">
      <c r="A610" t="s">
        <v>1348</v>
      </c>
      <c r="B610" s="1">
        <v>45127</v>
      </c>
      <c r="C610" t="s">
        <v>399</v>
      </c>
      <c r="D610" t="s">
        <v>1349</v>
      </c>
      <c r="E610" t="s">
        <v>26</v>
      </c>
      <c r="F610" t="s">
        <v>74</v>
      </c>
      <c r="G610" t="s">
        <v>137</v>
      </c>
      <c r="H610">
        <v>5</v>
      </c>
      <c r="I610">
        <v>2500</v>
      </c>
      <c r="J610">
        <v>25</v>
      </c>
      <c r="K610">
        <v>3125</v>
      </c>
      <c r="L610">
        <v>9375</v>
      </c>
      <c r="M610">
        <v>3112.25</v>
      </c>
      <c r="N610" t="s">
        <v>99</v>
      </c>
      <c r="O610" t="s">
        <v>95</v>
      </c>
      <c r="P610" t="str">
        <f t="shared" si="18"/>
        <v>Low Value</v>
      </c>
      <c r="Q610" t="str">
        <f t="shared" si="19"/>
        <v>Medium</v>
      </c>
      <c r="R610" t="str" cm="1">
        <f t="array" ref="R610">_xlfn.IFS(L610&gt;50000,"Premium",L610&gt;20000,"High",L610&gt;5000,"Medium",TRUE,"Low")</f>
        <v>Medium</v>
      </c>
    </row>
    <row r="611" spans="1:18" x14ac:dyDescent="0.3">
      <c r="A611" t="s">
        <v>1350</v>
      </c>
      <c r="B611" s="1">
        <v>45042</v>
      </c>
      <c r="C611" t="s">
        <v>673</v>
      </c>
      <c r="D611" t="s">
        <v>566</v>
      </c>
      <c r="E611" t="s">
        <v>78</v>
      </c>
      <c r="F611" t="s">
        <v>19</v>
      </c>
      <c r="G611" t="s">
        <v>229</v>
      </c>
      <c r="H611">
        <v>4</v>
      </c>
      <c r="I611">
        <v>8000</v>
      </c>
      <c r="J611">
        <v>0</v>
      </c>
      <c r="K611">
        <v>0</v>
      </c>
      <c r="L611">
        <v>32000</v>
      </c>
      <c r="M611">
        <v>7045.54</v>
      </c>
      <c r="N611" t="s">
        <v>41</v>
      </c>
      <c r="O611" t="s">
        <v>35</v>
      </c>
      <c r="P611" t="str">
        <f t="shared" si="18"/>
        <v>High Value</v>
      </c>
      <c r="Q611" t="str">
        <f t="shared" si="19"/>
        <v>High</v>
      </c>
      <c r="R611" t="str" cm="1">
        <f t="array" ref="R611">_xlfn.IFS(L611&gt;50000,"Premium",L611&gt;20000,"High",L611&gt;5000,"Medium",TRUE,"Low")</f>
        <v>High</v>
      </c>
    </row>
    <row r="612" spans="1:18" x14ac:dyDescent="0.3">
      <c r="A612" t="s">
        <v>1351</v>
      </c>
      <c r="B612" s="1">
        <v>45250</v>
      </c>
      <c r="C612" t="s">
        <v>29</v>
      </c>
      <c r="D612" t="s">
        <v>118</v>
      </c>
      <c r="E612" t="s">
        <v>78</v>
      </c>
      <c r="F612" t="s">
        <v>60</v>
      </c>
      <c r="G612" t="s">
        <v>291</v>
      </c>
      <c r="H612">
        <v>3</v>
      </c>
      <c r="I612">
        <v>450</v>
      </c>
      <c r="J612">
        <v>20</v>
      </c>
      <c r="K612">
        <v>270</v>
      </c>
      <c r="L612">
        <v>1080</v>
      </c>
      <c r="M612">
        <v>330.48</v>
      </c>
      <c r="N612" t="s">
        <v>27</v>
      </c>
      <c r="O612" t="s">
        <v>35</v>
      </c>
      <c r="P612" t="str">
        <f t="shared" si="18"/>
        <v>Low Value</v>
      </c>
      <c r="Q612" t="str">
        <f t="shared" si="19"/>
        <v>Low</v>
      </c>
      <c r="R612" t="str" cm="1">
        <f t="array" ref="R612">_xlfn.IFS(L612&gt;50000,"Premium",L612&gt;20000,"High",L612&gt;5000,"Medium",TRUE,"Low")</f>
        <v>Low</v>
      </c>
    </row>
    <row r="613" spans="1:18" x14ac:dyDescent="0.3">
      <c r="A613" t="s">
        <v>1352</v>
      </c>
      <c r="B613" s="1">
        <v>45210</v>
      </c>
      <c r="C613" t="s">
        <v>1353</v>
      </c>
      <c r="D613" t="s">
        <v>428</v>
      </c>
      <c r="E613" t="s">
        <v>54</v>
      </c>
      <c r="F613" t="s">
        <v>19</v>
      </c>
      <c r="G613" t="s">
        <v>229</v>
      </c>
      <c r="H613">
        <v>2</v>
      </c>
      <c r="I613">
        <v>8000</v>
      </c>
      <c r="J613">
        <v>10</v>
      </c>
      <c r="K613">
        <v>1600</v>
      </c>
      <c r="L613">
        <v>14400</v>
      </c>
      <c r="M613">
        <v>3726.21</v>
      </c>
      <c r="N613" t="s">
        <v>99</v>
      </c>
      <c r="O613" t="s">
        <v>22</v>
      </c>
      <c r="P613" t="str">
        <f t="shared" si="18"/>
        <v>Low Value</v>
      </c>
      <c r="Q613" t="str">
        <f t="shared" si="19"/>
        <v>Medium</v>
      </c>
      <c r="R613" t="str" cm="1">
        <f t="array" ref="R613">_xlfn.IFS(L613&gt;50000,"Premium",L613&gt;20000,"High",L613&gt;5000,"Medium",TRUE,"Low")</f>
        <v>Medium</v>
      </c>
    </row>
    <row r="614" spans="1:18" x14ac:dyDescent="0.3">
      <c r="A614" t="s">
        <v>1354</v>
      </c>
      <c r="B614" s="1">
        <v>45024</v>
      </c>
      <c r="C614" t="s">
        <v>1355</v>
      </c>
      <c r="D614" t="s">
        <v>796</v>
      </c>
      <c r="E614" t="s">
        <v>26</v>
      </c>
      <c r="F614" t="s">
        <v>69</v>
      </c>
      <c r="G614" t="s">
        <v>505</v>
      </c>
      <c r="H614">
        <v>2</v>
      </c>
      <c r="I614">
        <v>499</v>
      </c>
      <c r="J614">
        <v>0</v>
      </c>
      <c r="K614">
        <v>0</v>
      </c>
      <c r="L614">
        <v>998</v>
      </c>
      <c r="M614">
        <v>265.39</v>
      </c>
      <c r="N614" t="s">
        <v>99</v>
      </c>
      <c r="O614" t="s">
        <v>95</v>
      </c>
      <c r="P614" t="str">
        <f t="shared" si="18"/>
        <v>Low Value</v>
      </c>
      <c r="Q614" t="str">
        <f t="shared" si="19"/>
        <v>Low</v>
      </c>
      <c r="R614" t="str" cm="1">
        <f t="array" ref="R614">_xlfn.IFS(L614&gt;50000,"Premium",L614&gt;20000,"High",L614&gt;5000,"Medium",TRUE,"Low")</f>
        <v>Low</v>
      </c>
    </row>
    <row r="615" spans="1:18" x14ac:dyDescent="0.3">
      <c r="A615" t="s">
        <v>1356</v>
      </c>
      <c r="B615" s="1">
        <v>45256</v>
      </c>
      <c r="C615" t="s">
        <v>574</v>
      </c>
      <c r="D615" t="s">
        <v>1357</v>
      </c>
      <c r="E615" t="s">
        <v>59</v>
      </c>
      <c r="F615" t="s">
        <v>32</v>
      </c>
      <c r="G615" t="s">
        <v>259</v>
      </c>
      <c r="H615">
        <v>5</v>
      </c>
      <c r="I615">
        <v>450</v>
      </c>
      <c r="J615">
        <v>15</v>
      </c>
      <c r="K615">
        <v>337.5</v>
      </c>
      <c r="L615">
        <v>1912.5</v>
      </c>
      <c r="M615">
        <v>650.20000000000005</v>
      </c>
      <c r="N615" t="s">
        <v>34</v>
      </c>
      <c r="O615" t="s">
        <v>35</v>
      </c>
      <c r="P615" t="str">
        <f t="shared" si="18"/>
        <v>Low Value</v>
      </c>
      <c r="Q615" t="str">
        <f t="shared" si="19"/>
        <v>Low</v>
      </c>
      <c r="R615" t="str" cm="1">
        <f t="array" ref="R615">_xlfn.IFS(L615&gt;50000,"Premium",L615&gt;20000,"High",L615&gt;5000,"Medium",TRUE,"Low")</f>
        <v>Low</v>
      </c>
    </row>
    <row r="616" spans="1:18" x14ac:dyDescent="0.3">
      <c r="A616" t="s">
        <v>1358</v>
      </c>
      <c r="B616" s="1">
        <v>45134</v>
      </c>
      <c r="C616" t="s">
        <v>333</v>
      </c>
      <c r="D616" t="s">
        <v>185</v>
      </c>
      <c r="E616" t="s">
        <v>31</v>
      </c>
      <c r="F616" t="s">
        <v>19</v>
      </c>
      <c r="G616" t="s">
        <v>65</v>
      </c>
      <c r="H616">
        <v>5</v>
      </c>
      <c r="I616">
        <v>55000</v>
      </c>
      <c r="J616">
        <v>15</v>
      </c>
      <c r="K616">
        <v>41250</v>
      </c>
      <c r="L616">
        <v>233750</v>
      </c>
      <c r="M616">
        <v>77611.3</v>
      </c>
      <c r="N616" t="s">
        <v>99</v>
      </c>
      <c r="O616" t="s">
        <v>35</v>
      </c>
      <c r="P616" t="str">
        <f t="shared" si="18"/>
        <v>High Value</v>
      </c>
      <c r="Q616" t="str">
        <f t="shared" si="19"/>
        <v>Premium</v>
      </c>
      <c r="R616" t="str" cm="1">
        <f t="array" ref="R616">_xlfn.IFS(L616&gt;50000,"Premium",L616&gt;20000,"High",L616&gt;5000,"Medium",TRUE,"Low")</f>
        <v>Premium</v>
      </c>
    </row>
    <row r="617" spans="1:18" x14ac:dyDescent="0.3">
      <c r="A617" t="s">
        <v>1359</v>
      </c>
      <c r="B617" s="1">
        <v>44999</v>
      </c>
      <c r="C617" t="s">
        <v>424</v>
      </c>
      <c r="D617" t="s">
        <v>58</v>
      </c>
      <c r="E617" t="s">
        <v>83</v>
      </c>
      <c r="F617" t="s">
        <v>39</v>
      </c>
      <c r="G617" t="s">
        <v>213</v>
      </c>
      <c r="H617">
        <v>1</v>
      </c>
      <c r="I617">
        <v>15000</v>
      </c>
      <c r="J617">
        <v>15</v>
      </c>
      <c r="K617">
        <v>2250</v>
      </c>
      <c r="L617">
        <v>12750</v>
      </c>
      <c r="M617">
        <v>4107.46</v>
      </c>
      <c r="N617" t="s">
        <v>99</v>
      </c>
      <c r="O617" t="s">
        <v>35</v>
      </c>
      <c r="P617" t="str">
        <f t="shared" si="18"/>
        <v>Low Value</v>
      </c>
      <c r="Q617" t="str">
        <f t="shared" si="19"/>
        <v>Medium</v>
      </c>
      <c r="R617" t="str" cm="1">
        <f t="array" ref="R617">_xlfn.IFS(L617&gt;50000,"Premium",L617&gt;20000,"High",L617&gt;5000,"Medium",TRUE,"Low")</f>
        <v>Medium</v>
      </c>
    </row>
    <row r="618" spans="1:18" x14ac:dyDescent="0.3">
      <c r="A618" t="s">
        <v>1360</v>
      </c>
      <c r="B618" s="1">
        <v>45250</v>
      </c>
      <c r="C618" t="s">
        <v>46</v>
      </c>
      <c r="D618" t="s">
        <v>90</v>
      </c>
      <c r="E618" t="s">
        <v>18</v>
      </c>
      <c r="F618" t="s">
        <v>19</v>
      </c>
      <c r="G618" t="s">
        <v>103</v>
      </c>
      <c r="H618">
        <v>1</v>
      </c>
      <c r="I618">
        <v>3500</v>
      </c>
      <c r="J618">
        <v>15</v>
      </c>
      <c r="K618">
        <v>525</v>
      </c>
      <c r="L618">
        <v>2975</v>
      </c>
      <c r="M618">
        <v>694.27</v>
      </c>
      <c r="N618" t="s">
        <v>99</v>
      </c>
      <c r="O618" t="s">
        <v>22</v>
      </c>
      <c r="P618" t="str">
        <f t="shared" si="18"/>
        <v>Low Value</v>
      </c>
      <c r="Q618" t="str">
        <f t="shared" si="19"/>
        <v>Low</v>
      </c>
      <c r="R618" t="str" cm="1">
        <f t="array" ref="R618">_xlfn.IFS(L618&gt;50000,"Premium",L618&gt;20000,"High",L618&gt;5000,"Medium",TRUE,"Low")</f>
        <v>Low</v>
      </c>
    </row>
    <row r="619" spans="1:18" x14ac:dyDescent="0.3">
      <c r="A619" t="s">
        <v>1361</v>
      </c>
      <c r="B619" s="1">
        <v>45231</v>
      </c>
      <c r="C619" t="s">
        <v>733</v>
      </c>
      <c r="D619" t="s">
        <v>401</v>
      </c>
      <c r="E619" t="s">
        <v>48</v>
      </c>
      <c r="F619" t="s">
        <v>49</v>
      </c>
      <c r="G619" t="s">
        <v>331</v>
      </c>
      <c r="H619">
        <v>2</v>
      </c>
      <c r="I619">
        <v>699</v>
      </c>
      <c r="J619">
        <v>0</v>
      </c>
      <c r="K619">
        <v>0</v>
      </c>
      <c r="L619">
        <v>1398</v>
      </c>
      <c r="M619">
        <v>407.29</v>
      </c>
      <c r="N619" t="s">
        <v>99</v>
      </c>
      <c r="O619" t="s">
        <v>95</v>
      </c>
      <c r="P619" t="str">
        <f t="shared" si="18"/>
        <v>Low Value</v>
      </c>
      <c r="Q619" t="str">
        <f t="shared" si="19"/>
        <v>Low</v>
      </c>
      <c r="R619" t="str" cm="1">
        <f t="array" ref="R619">_xlfn.IFS(L619&gt;50000,"Premium",L619&gt;20000,"High",L619&gt;5000,"Medium",TRUE,"Low")</f>
        <v>Low</v>
      </c>
    </row>
    <row r="620" spans="1:18" x14ac:dyDescent="0.3">
      <c r="A620" t="s">
        <v>1362</v>
      </c>
      <c r="B620" s="1">
        <v>45206</v>
      </c>
      <c r="C620" t="s">
        <v>1363</v>
      </c>
      <c r="D620" t="s">
        <v>1207</v>
      </c>
      <c r="E620" t="s">
        <v>78</v>
      </c>
      <c r="F620" t="s">
        <v>69</v>
      </c>
      <c r="G620" t="s">
        <v>275</v>
      </c>
      <c r="H620">
        <v>2</v>
      </c>
      <c r="I620">
        <v>799</v>
      </c>
      <c r="J620">
        <v>0</v>
      </c>
      <c r="K620">
        <v>0</v>
      </c>
      <c r="L620">
        <v>1598</v>
      </c>
      <c r="M620">
        <v>364.23</v>
      </c>
      <c r="N620" t="s">
        <v>27</v>
      </c>
      <c r="O620" t="s">
        <v>22</v>
      </c>
      <c r="P620" t="str">
        <f t="shared" si="18"/>
        <v>Low Value</v>
      </c>
      <c r="Q620" t="str">
        <f t="shared" si="19"/>
        <v>Low</v>
      </c>
      <c r="R620" t="str" cm="1">
        <f t="array" ref="R620">_xlfn.IFS(L620&gt;50000,"Premium",L620&gt;20000,"High",L620&gt;5000,"Medium",TRUE,"Low")</f>
        <v>Low</v>
      </c>
    </row>
    <row r="621" spans="1:18" x14ac:dyDescent="0.3">
      <c r="A621" t="s">
        <v>1364</v>
      </c>
      <c r="B621" s="1">
        <v>45013</v>
      </c>
      <c r="C621" t="s">
        <v>1365</v>
      </c>
      <c r="D621" t="s">
        <v>861</v>
      </c>
      <c r="E621" t="s">
        <v>83</v>
      </c>
      <c r="F621" t="s">
        <v>60</v>
      </c>
      <c r="G621" t="s">
        <v>141</v>
      </c>
      <c r="H621">
        <v>5</v>
      </c>
      <c r="I621">
        <v>350</v>
      </c>
      <c r="J621">
        <v>5</v>
      </c>
      <c r="K621">
        <v>87.5</v>
      </c>
      <c r="L621">
        <v>1662.5</v>
      </c>
      <c r="M621">
        <v>301.91000000000003</v>
      </c>
      <c r="N621" t="s">
        <v>99</v>
      </c>
      <c r="O621" t="s">
        <v>95</v>
      </c>
      <c r="P621" t="str">
        <f t="shared" si="18"/>
        <v>Low Value</v>
      </c>
      <c r="Q621" t="str">
        <f t="shared" si="19"/>
        <v>Low</v>
      </c>
      <c r="R621" t="str" cm="1">
        <f t="array" ref="R621">_xlfn.IFS(L621&gt;50000,"Premium",L621&gt;20000,"High",L621&gt;5000,"Medium",TRUE,"Low")</f>
        <v>Low</v>
      </c>
    </row>
    <row r="622" spans="1:18" x14ac:dyDescent="0.3">
      <c r="A622" t="s">
        <v>1366</v>
      </c>
      <c r="B622" s="1">
        <v>45119</v>
      </c>
      <c r="C622" t="s">
        <v>924</v>
      </c>
      <c r="D622" t="s">
        <v>682</v>
      </c>
      <c r="E622" t="s">
        <v>78</v>
      </c>
      <c r="F622" t="s">
        <v>49</v>
      </c>
      <c r="G622" t="s">
        <v>94</v>
      </c>
      <c r="H622">
        <v>1</v>
      </c>
      <c r="I622">
        <v>399</v>
      </c>
      <c r="J622">
        <v>15</v>
      </c>
      <c r="K622">
        <v>59.85</v>
      </c>
      <c r="L622">
        <v>339.15</v>
      </c>
      <c r="M622">
        <v>25.17</v>
      </c>
      <c r="N622" t="s">
        <v>41</v>
      </c>
      <c r="O622" t="s">
        <v>22</v>
      </c>
      <c r="P622" t="str">
        <f t="shared" si="18"/>
        <v>Low Value</v>
      </c>
      <c r="Q622" t="str">
        <f t="shared" si="19"/>
        <v>Low</v>
      </c>
      <c r="R622" t="str" cm="1">
        <f t="array" ref="R622">_xlfn.IFS(L622&gt;50000,"Premium",L622&gt;20000,"High",L622&gt;5000,"Medium",TRUE,"Low")</f>
        <v>Low</v>
      </c>
    </row>
    <row r="623" spans="1:18" x14ac:dyDescent="0.3">
      <c r="A623" t="s">
        <v>1367</v>
      </c>
      <c r="B623" s="1">
        <v>45281</v>
      </c>
      <c r="C623" t="s">
        <v>523</v>
      </c>
      <c r="D623" t="s">
        <v>168</v>
      </c>
      <c r="E623" t="s">
        <v>83</v>
      </c>
      <c r="F623" t="s">
        <v>69</v>
      </c>
      <c r="G623" t="s">
        <v>202</v>
      </c>
      <c r="H623">
        <v>2</v>
      </c>
      <c r="I623">
        <v>1299</v>
      </c>
      <c r="J623">
        <v>25</v>
      </c>
      <c r="K623">
        <v>649.5</v>
      </c>
      <c r="L623">
        <v>1948.5</v>
      </c>
      <c r="M623">
        <v>255.81</v>
      </c>
      <c r="N623" t="s">
        <v>21</v>
      </c>
      <c r="O623" t="s">
        <v>35</v>
      </c>
      <c r="P623" t="str">
        <f t="shared" si="18"/>
        <v>Low Value</v>
      </c>
      <c r="Q623" t="str">
        <f t="shared" si="19"/>
        <v>Low</v>
      </c>
      <c r="R623" t="str" cm="1">
        <f t="array" ref="R623">_xlfn.IFS(L623&gt;50000,"Premium",L623&gt;20000,"High",L623&gt;5000,"Medium",TRUE,"Low")</f>
        <v>Low</v>
      </c>
    </row>
    <row r="624" spans="1:18" x14ac:dyDescent="0.3">
      <c r="A624" t="s">
        <v>1368</v>
      </c>
      <c r="B624" s="1">
        <v>45232</v>
      </c>
      <c r="C624" t="s">
        <v>1369</v>
      </c>
      <c r="D624" t="s">
        <v>1370</v>
      </c>
      <c r="E624" t="s">
        <v>26</v>
      </c>
      <c r="F624" t="s">
        <v>69</v>
      </c>
      <c r="G624" t="s">
        <v>70</v>
      </c>
      <c r="H624">
        <v>4</v>
      </c>
      <c r="I624">
        <v>2499</v>
      </c>
      <c r="J624">
        <v>20</v>
      </c>
      <c r="K624">
        <v>1999.2</v>
      </c>
      <c r="L624">
        <v>7996.8</v>
      </c>
      <c r="M624">
        <v>2679.64</v>
      </c>
      <c r="N624" t="s">
        <v>99</v>
      </c>
      <c r="O624" t="s">
        <v>95</v>
      </c>
      <c r="P624" t="str">
        <f t="shared" si="18"/>
        <v>Low Value</v>
      </c>
      <c r="Q624" t="str">
        <f t="shared" si="19"/>
        <v>Medium</v>
      </c>
      <c r="R624" t="str" cm="1">
        <f t="array" ref="R624">_xlfn.IFS(L624&gt;50000,"Premium",L624&gt;20000,"High",L624&gt;5000,"Medium",TRUE,"Low")</f>
        <v>Medium</v>
      </c>
    </row>
    <row r="625" spans="1:18" x14ac:dyDescent="0.3">
      <c r="A625" t="s">
        <v>1371</v>
      </c>
      <c r="B625" s="1">
        <v>45047</v>
      </c>
      <c r="C625" t="s">
        <v>709</v>
      </c>
      <c r="D625" t="s">
        <v>1372</v>
      </c>
      <c r="E625" t="s">
        <v>31</v>
      </c>
      <c r="F625" t="s">
        <v>69</v>
      </c>
      <c r="G625" t="s">
        <v>505</v>
      </c>
      <c r="H625">
        <v>5</v>
      </c>
      <c r="I625">
        <v>499</v>
      </c>
      <c r="J625">
        <v>0</v>
      </c>
      <c r="K625">
        <v>0</v>
      </c>
      <c r="L625">
        <v>2495</v>
      </c>
      <c r="M625">
        <v>588.01</v>
      </c>
      <c r="N625" t="s">
        <v>41</v>
      </c>
      <c r="O625" t="s">
        <v>35</v>
      </c>
      <c r="P625" t="str">
        <f t="shared" si="18"/>
        <v>Low Value</v>
      </c>
      <c r="Q625" t="str">
        <f t="shared" si="19"/>
        <v>Low</v>
      </c>
      <c r="R625" t="str" cm="1">
        <f t="array" ref="R625">_xlfn.IFS(L625&gt;50000,"Premium",L625&gt;20000,"High",L625&gt;5000,"Medium",TRUE,"Low")</f>
        <v>Low</v>
      </c>
    </row>
    <row r="626" spans="1:18" x14ac:dyDescent="0.3">
      <c r="A626" t="s">
        <v>1373</v>
      </c>
      <c r="B626" s="1">
        <v>45068</v>
      </c>
      <c r="C626" t="s">
        <v>576</v>
      </c>
      <c r="D626" t="s">
        <v>264</v>
      </c>
      <c r="E626" t="s">
        <v>83</v>
      </c>
      <c r="F626" t="s">
        <v>19</v>
      </c>
      <c r="G626" t="s">
        <v>65</v>
      </c>
      <c r="H626">
        <v>1</v>
      </c>
      <c r="I626">
        <v>55000</v>
      </c>
      <c r="J626">
        <v>5</v>
      </c>
      <c r="K626">
        <v>2750</v>
      </c>
      <c r="L626">
        <v>52250</v>
      </c>
      <c r="M626">
        <v>13353.7</v>
      </c>
      <c r="N626" t="s">
        <v>27</v>
      </c>
      <c r="O626" t="s">
        <v>35</v>
      </c>
      <c r="P626" t="str">
        <f t="shared" si="18"/>
        <v>High Value</v>
      </c>
      <c r="Q626" t="str">
        <f t="shared" si="19"/>
        <v>Premium</v>
      </c>
      <c r="R626" t="str" cm="1">
        <f t="array" ref="R626">_xlfn.IFS(L626&gt;50000,"Premium",L626&gt;20000,"High",L626&gt;5000,"Medium",TRUE,"Low")</f>
        <v>Premium</v>
      </c>
    </row>
    <row r="627" spans="1:18" x14ac:dyDescent="0.3">
      <c r="A627" t="s">
        <v>1374</v>
      </c>
      <c r="B627" s="1">
        <v>44954</v>
      </c>
      <c r="C627" t="s">
        <v>1363</v>
      </c>
      <c r="D627" t="s">
        <v>494</v>
      </c>
      <c r="E627" t="s">
        <v>59</v>
      </c>
      <c r="F627" t="s">
        <v>60</v>
      </c>
      <c r="G627" t="s">
        <v>141</v>
      </c>
      <c r="H627">
        <v>3</v>
      </c>
      <c r="I627">
        <v>350</v>
      </c>
      <c r="J627">
        <v>5</v>
      </c>
      <c r="K627">
        <v>52.5</v>
      </c>
      <c r="L627">
        <v>997.5</v>
      </c>
      <c r="M627">
        <v>179.95</v>
      </c>
      <c r="N627" t="s">
        <v>99</v>
      </c>
      <c r="O627" t="s">
        <v>35</v>
      </c>
      <c r="P627" t="str">
        <f t="shared" si="18"/>
        <v>Low Value</v>
      </c>
      <c r="Q627" t="str">
        <f t="shared" si="19"/>
        <v>Low</v>
      </c>
      <c r="R627" t="str" cm="1">
        <f t="array" ref="R627">_xlfn.IFS(L627&gt;50000,"Premium",L627&gt;20000,"High",L627&gt;5000,"Medium",TRUE,"Low")</f>
        <v>Low</v>
      </c>
    </row>
    <row r="628" spans="1:18" x14ac:dyDescent="0.3">
      <c r="A628" t="s">
        <v>1375</v>
      </c>
      <c r="B628" s="1">
        <v>45202</v>
      </c>
      <c r="C628" t="s">
        <v>1023</v>
      </c>
      <c r="D628" t="s">
        <v>324</v>
      </c>
      <c r="E628" t="s">
        <v>48</v>
      </c>
      <c r="F628" t="s">
        <v>69</v>
      </c>
      <c r="G628" t="s">
        <v>202</v>
      </c>
      <c r="H628">
        <v>1</v>
      </c>
      <c r="I628">
        <v>1299</v>
      </c>
      <c r="J628">
        <v>15</v>
      </c>
      <c r="K628">
        <v>194.85</v>
      </c>
      <c r="L628">
        <v>1104.1500000000001</v>
      </c>
      <c r="M628">
        <v>225.77</v>
      </c>
      <c r="N628" t="s">
        <v>41</v>
      </c>
      <c r="O628" t="s">
        <v>35</v>
      </c>
      <c r="P628" t="str">
        <f t="shared" si="18"/>
        <v>Low Value</v>
      </c>
      <c r="Q628" t="str">
        <f t="shared" si="19"/>
        <v>Low</v>
      </c>
      <c r="R628" t="str" cm="1">
        <f t="array" ref="R628">_xlfn.IFS(L628&gt;50000,"Premium",L628&gt;20000,"High",L628&gt;5000,"Medium",TRUE,"Low")</f>
        <v>Low</v>
      </c>
    </row>
    <row r="629" spans="1:18" x14ac:dyDescent="0.3">
      <c r="A629" t="s">
        <v>1376</v>
      </c>
      <c r="B629" s="1">
        <v>45273</v>
      </c>
      <c r="C629" t="s">
        <v>1251</v>
      </c>
      <c r="D629" t="s">
        <v>891</v>
      </c>
      <c r="E629" t="s">
        <v>26</v>
      </c>
      <c r="F629" t="s">
        <v>32</v>
      </c>
      <c r="G629" t="s">
        <v>148</v>
      </c>
      <c r="H629">
        <v>1</v>
      </c>
      <c r="I629">
        <v>120</v>
      </c>
      <c r="J629">
        <v>10</v>
      </c>
      <c r="K629">
        <v>12</v>
      </c>
      <c r="L629">
        <v>108</v>
      </c>
      <c r="M629">
        <v>12.78</v>
      </c>
      <c r="N629" t="s">
        <v>27</v>
      </c>
      <c r="O629" t="s">
        <v>35</v>
      </c>
      <c r="P629" t="str">
        <f t="shared" si="18"/>
        <v>Low Value</v>
      </c>
      <c r="Q629" t="str">
        <f t="shared" si="19"/>
        <v>Low</v>
      </c>
      <c r="R629" t="str" cm="1">
        <f t="array" ref="R629">_xlfn.IFS(L629&gt;50000,"Premium",L629&gt;20000,"High",L629&gt;5000,"Medium",TRUE,"Low")</f>
        <v>Low</v>
      </c>
    </row>
    <row r="630" spans="1:18" x14ac:dyDescent="0.3">
      <c r="A630" t="s">
        <v>1377</v>
      </c>
      <c r="B630" s="1">
        <v>45168</v>
      </c>
      <c r="C630" t="s">
        <v>687</v>
      </c>
      <c r="D630" t="s">
        <v>494</v>
      </c>
      <c r="E630" t="s">
        <v>83</v>
      </c>
      <c r="F630" t="s">
        <v>74</v>
      </c>
      <c r="G630" t="s">
        <v>75</v>
      </c>
      <c r="H630">
        <v>1</v>
      </c>
      <c r="I630">
        <v>2200</v>
      </c>
      <c r="J630">
        <v>15</v>
      </c>
      <c r="K630">
        <v>330</v>
      </c>
      <c r="L630">
        <v>1870</v>
      </c>
      <c r="M630">
        <v>174.81</v>
      </c>
      <c r="N630" t="s">
        <v>41</v>
      </c>
      <c r="O630" t="s">
        <v>35</v>
      </c>
      <c r="P630" t="str">
        <f t="shared" si="18"/>
        <v>Low Value</v>
      </c>
      <c r="Q630" t="str">
        <f t="shared" si="19"/>
        <v>Low</v>
      </c>
      <c r="R630" t="str" cm="1">
        <f t="array" ref="R630">_xlfn.IFS(L630&gt;50000,"Premium",L630&gt;20000,"High",L630&gt;5000,"Medium",TRUE,"Low")</f>
        <v>Low</v>
      </c>
    </row>
    <row r="631" spans="1:18" x14ac:dyDescent="0.3">
      <c r="A631" t="s">
        <v>1378</v>
      </c>
      <c r="B631" s="1">
        <v>44996</v>
      </c>
      <c r="C631" t="s">
        <v>1379</v>
      </c>
      <c r="D631" t="s">
        <v>151</v>
      </c>
      <c r="E631" t="s">
        <v>83</v>
      </c>
      <c r="F631" t="s">
        <v>39</v>
      </c>
      <c r="G631" t="s">
        <v>213</v>
      </c>
      <c r="H631">
        <v>2</v>
      </c>
      <c r="I631">
        <v>15000</v>
      </c>
      <c r="J631">
        <v>25</v>
      </c>
      <c r="K631">
        <v>7500</v>
      </c>
      <c r="L631">
        <v>22500</v>
      </c>
      <c r="M631">
        <v>3545.48</v>
      </c>
      <c r="N631" t="s">
        <v>99</v>
      </c>
      <c r="O631" t="s">
        <v>95</v>
      </c>
      <c r="P631" t="str">
        <f t="shared" si="18"/>
        <v>High Value</v>
      </c>
      <c r="Q631" t="str">
        <f t="shared" si="19"/>
        <v>High</v>
      </c>
      <c r="R631" t="str" cm="1">
        <f t="array" ref="R631">_xlfn.IFS(L631&gt;50000,"Premium",L631&gt;20000,"High",L631&gt;5000,"Medium",TRUE,"Low")</f>
        <v>High</v>
      </c>
    </row>
    <row r="632" spans="1:18" x14ac:dyDescent="0.3">
      <c r="A632" t="s">
        <v>1380</v>
      </c>
      <c r="B632" s="1">
        <v>44957</v>
      </c>
      <c r="C632" t="s">
        <v>870</v>
      </c>
      <c r="D632" t="s">
        <v>442</v>
      </c>
      <c r="E632" t="s">
        <v>78</v>
      </c>
      <c r="F632" t="s">
        <v>32</v>
      </c>
      <c r="G632" t="s">
        <v>148</v>
      </c>
      <c r="H632">
        <v>1</v>
      </c>
      <c r="I632">
        <v>120</v>
      </c>
      <c r="J632">
        <v>15</v>
      </c>
      <c r="K632">
        <v>18</v>
      </c>
      <c r="L632">
        <v>102</v>
      </c>
      <c r="M632">
        <v>19.13</v>
      </c>
      <c r="N632" t="s">
        <v>21</v>
      </c>
      <c r="O632" t="s">
        <v>35</v>
      </c>
      <c r="P632" t="str">
        <f t="shared" si="18"/>
        <v>Low Value</v>
      </c>
      <c r="Q632" t="str">
        <f t="shared" si="19"/>
        <v>Low</v>
      </c>
      <c r="R632" t="str" cm="1">
        <f t="array" ref="R632">_xlfn.IFS(L632&gt;50000,"Premium",L632&gt;20000,"High",L632&gt;5000,"Medium",TRUE,"Low")</f>
        <v>Low</v>
      </c>
    </row>
    <row r="633" spans="1:18" x14ac:dyDescent="0.3">
      <c r="A633" t="s">
        <v>1381</v>
      </c>
      <c r="B633" s="1">
        <v>45253</v>
      </c>
      <c r="C633" t="s">
        <v>698</v>
      </c>
      <c r="D633" t="s">
        <v>1382</v>
      </c>
      <c r="E633" t="s">
        <v>54</v>
      </c>
      <c r="F633" t="s">
        <v>74</v>
      </c>
      <c r="G633" t="s">
        <v>381</v>
      </c>
      <c r="H633">
        <v>5</v>
      </c>
      <c r="I633">
        <v>800</v>
      </c>
      <c r="J633">
        <v>20</v>
      </c>
      <c r="K633">
        <v>800</v>
      </c>
      <c r="L633">
        <v>3200</v>
      </c>
      <c r="M633">
        <v>980.8</v>
      </c>
      <c r="N633" t="s">
        <v>27</v>
      </c>
      <c r="O633" t="s">
        <v>95</v>
      </c>
      <c r="P633" t="str">
        <f t="shared" si="18"/>
        <v>Low Value</v>
      </c>
      <c r="Q633" t="str">
        <f t="shared" si="19"/>
        <v>Low</v>
      </c>
      <c r="R633" t="str" cm="1">
        <f t="array" ref="R633">_xlfn.IFS(L633&gt;50000,"Premium",L633&gt;20000,"High",L633&gt;5000,"Medium",TRUE,"Low")</f>
        <v>Low</v>
      </c>
    </row>
    <row r="634" spans="1:18" x14ac:dyDescent="0.3">
      <c r="A634" t="s">
        <v>1383</v>
      </c>
      <c r="B634" s="1">
        <v>45169</v>
      </c>
      <c r="C634" t="s">
        <v>221</v>
      </c>
      <c r="D634" t="s">
        <v>637</v>
      </c>
      <c r="E634" t="s">
        <v>48</v>
      </c>
      <c r="F634" t="s">
        <v>49</v>
      </c>
      <c r="G634" t="s">
        <v>603</v>
      </c>
      <c r="H634">
        <v>3</v>
      </c>
      <c r="I634">
        <v>449</v>
      </c>
      <c r="J634">
        <v>0</v>
      </c>
      <c r="K634">
        <v>0</v>
      </c>
      <c r="L634">
        <v>1347</v>
      </c>
      <c r="M634">
        <v>362.35</v>
      </c>
      <c r="N634" t="s">
        <v>41</v>
      </c>
      <c r="O634" t="s">
        <v>95</v>
      </c>
      <c r="P634" t="str">
        <f t="shared" si="18"/>
        <v>Low Value</v>
      </c>
      <c r="Q634" t="str">
        <f t="shared" si="19"/>
        <v>Low</v>
      </c>
      <c r="R634" t="str" cm="1">
        <f t="array" ref="R634">_xlfn.IFS(L634&gt;50000,"Premium",L634&gt;20000,"High",L634&gt;5000,"Medium",TRUE,"Low")</f>
        <v>Low</v>
      </c>
    </row>
    <row r="635" spans="1:18" x14ac:dyDescent="0.3">
      <c r="A635" t="s">
        <v>1384</v>
      </c>
      <c r="B635" s="1">
        <v>45040</v>
      </c>
      <c r="C635" t="s">
        <v>507</v>
      </c>
      <c r="D635" t="s">
        <v>1385</v>
      </c>
      <c r="E635" t="s">
        <v>59</v>
      </c>
      <c r="F635" t="s">
        <v>74</v>
      </c>
      <c r="G635" t="s">
        <v>381</v>
      </c>
      <c r="H635">
        <v>5</v>
      </c>
      <c r="I635">
        <v>800</v>
      </c>
      <c r="J635">
        <v>0</v>
      </c>
      <c r="K635">
        <v>0</v>
      </c>
      <c r="L635">
        <v>4000</v>
      </c>
      <c r="M635">
        <v>701.33</v>
      </c>
      <c r="N635" t="s">
        <v>41</v>
      </c>
      <c r="O635" t="s">
        <v>95</v>
      </c>
      <c r="P635" t="str">
        <f t="shared" si="18"/>
        <v>Low Value</v>
      </c>
      <c r="Q635" t="str">
        <f t="shared" si="19"/>
        <v>Low</v>
      </c>
      <c r="R635" t="str" cm="1">
        <f t="array" ref="R635">_xlfn.IFS(L635&gt;50000,"Premium",L635&gt;20000,"High",L635&gt;5000,"Medium",TRUE,"Low")</f>
        <v>Low</v>
      </c>
    </row>
    <row r="636" spans="1:18" x14ac:dyDescent="0.3">
      <c r="A636" t="s">
        <v>1386</v>
      </c>
      <c r="B636" s="1">
        <v>45128</v>
      </c>
      <c r="C636" t="s">
        <v>227</v>
      </c>
      <c r="D636" t="s">
        <v>1026</v>
      </c>
      <c r="E636" t="s">
        <v>26</v>
      </c>
      <c r="F636" t="s">
        <v>39</v>
      </c>
      <c r="G636" t="s">
        <v>209</v>
      </c>
      <c r="H636">
        <v>1</v>
      </c>
      <c r="I636">
        <v>3200</v>
      </c>
      <c r="J636">
        <v>15</v>
      </c>
      <c r="K636">
        <v>480</v>
      </c>
      <c r="L636">
        <v>2720</v>
      </c>
      <c r="M636">
        <v>540.15</v>
      </c>
      <c r="N636" t="s">
        <v>27</v>
      </c>
      <c r="O636" t="s">
        <v>35</v>
      </c>
      <c r="P636" t="str">
        <f t="shared" si="18"/>
        <v>Low Value</v>
      </c>
      <c r="Q636" t="str">
        <f t="shared" si="19"/>
        <v>Low</v>
      </c>
      <c r="R636" t="str" cm="1">
        <f t="array" ref="R636">_xlfn.IFS(L636&gt;50000,"Premium",L636&gt;20000,"High",L636&gt;5000,"Medium",TRUE,"Low")</f>
        <v>Low</v>
      </c>
    </row>
    <row r="637" spans="1:18" x14ac:dyDescent="0.3">
      <c r="A637" t="s">
        <v>1387</v>
      </c>
      <c r="B637" s="1">
        <v>45110</v>
      </c>
      <c r="C637" t="s">
        <v>782</v>
      </c>
      <c r="D637" t="s">
        <v>504</v>
      </c>
      <c r="E637" t="s">
        <v>59</v>
      </c>
      <c r="F637" t="s">
        <v>32</v>
      </c>
      <c r="G637" t="s">
        <v>148</v>
      </c>
      <c r="H637">
        <v>1</v>
      </c>
      <c r="I637">
        <v>120</v>
      </c>
      <c r="J637">
        <v>0</v>
      </c>
      <c r="K637">
        <v>0</v>
      </c>
      <c r="L637">
        <v>120</v>
      </c>
      <c r="M637">
        <v>23.27</v>
      </c>
      <c r="N637" t="s">
        <v>41</v>
      </c>
      <c r="O637" t="s">
        <v>22</v>
      </c>
      <c r="P637" t="str">
        <f t="shared" si="18"/>
        <v>Low Value</v>
      </c>
      <c r="Q637" t="str">
        <f t="shared" si="19"/>
        <v>Low</v>
      </c>
      <c r="R637" t="str" cm="1">
        <f t="array" ref="R637">_xlfn.IFS(L637&gt;50000,"Premium",L637&gt;20000,"High",L637&gt;5000,"Medium",TRUE,"Low")</f>
        <v>Low</v>
      </c>
    </row>
    <row r="638" spans="1:18" x14ac:dyDescent="0.3">
      <c r="A638" t="s">
        <v>1388</v>
      </c>
      <c r="B638" s="1">
        <v>44997</v>
      </c>
      <c r="C638" t="s">
        <v>661</v>
      </c>
      <c r="D638" t="s">
        <v>340</v>
      </c>
      <c r="E638" t="s">
        <v>18</v>
      </c>
      <c r="F638" t="s">
        <v>49</v>
      </c>
      <c r="G638" t="s">
        <v>458</v>
      </c>
      <c r="H638">
        <v>4</v>
      </c>
      <c r="I638">
        <v>549</v>
      </c>
      <c r="J638">
        <v>5</v>
      </c>
      <c r="K638">
        <v>109.8</v>
      </c>
      <c r="L638">
        <v>2086.1999999999998</v>
      </c>
      <c r="M638">
        <v>598.65</v>
      </c>
      <c r="N638" t="s">
        <v>41</v>
      </c>
      <c r="O638" t="s">
        <v>35</v>
      </c>
      <c r="P638" t="str">
        <f t="shared" si="18"/>
        <v>Low Value</v>
      </c>
      <c r="Q638" t="str">
        <f t="shared" si="19"/>
        <v>Low</v>
      </c>
      <c r="R638" t="str" cm="1">
        <f t="array" ref="R638">_xlfn.IFS(L638&gt;50000,"Premium",L638&gt;20000,"High",L638&gt;5000,"Medium",TRUE,"Low")</f>
        <v>Low</v>
      </c>
    </row>
    <row r="639" spans="1:18" x14ac:dyDescent="0.3">
      <c r="A639" t="s">
        <v>1389</v>
      </c>
      <c r="B639" s="1">
        <v>45198</v>
      </c>
      <c r="C639" t="s">
        <v>146</v>
      </c>
      <c r="D639" t="s">
        <v>539</v>
      </c>
      <c r="E639" t="s">
        <v>31</v>
      </c>
      <c r="F639" t="s">
        <v>19</v>
      </c>
      <c r="G639" t="s">
        <v>103</v>
      </c>
      <c r="H639">
        <v>4</v>
      </c>
      <c r="I639">
        <v>3500</v>
      </c>
      <c r="J639">
        <v>10</v>
      </c>
      <c r="K639">
        <v>1400</v>
      </c>
      <c r="L639">
        <v>12600</v>
      </c>
      <c r="M639">
        <v>3268.65</v>
      </c>
      <c r="N639" t="s">
        <v>99</v>
      </c>
      <c r="O639" t="s">
        <v>95</v>
      </c>
      <c r="P639" t="str">
        <f t="shared" si="18"/>
        <v>Low Value</v>
      </c>
      <c r="Q639" t="str">
        <f t="shared" si="19"/>
        <v>Medium</v>
      </c>
      <c r="R639" t="str" cm="1">
        <f t="array" ref="R639">_xlfn.IFS(L639&gt;50000,"Premium",L639&gt;20000,"High",L639&gt;5000,"Medium",TRUE,"Low")</f>
        <v>Medium</v>
      </c>
    </row>
    <row r="640" spans="1:18" x14ac:dyDescent="0.3">
      <c r="A640" t="s">
        <v>1390</v>
      </c>
      <c r="B640" s="1">
        <v>45098</v>
      </c>
      <c r="C640" t="s">
        <v>595</v>
      </c>
      <c r="D640" t="s">
        <v>1017</v>
      </c>
      <c r="E640" t="s">
        <v>48</v>
      </c>
      <c r="F640" t="s">
        <v>60</v>
      </c>
      <c r="G640" t="s">
        <v>291</v>
      </c>
      <c r="H640">
        <v>5</v>
      </c>
      <c r="I640">
        <v>450</v>
      </c>
      <c r="J640">
        <v>25</v>
      </c>
      <c r="K640">
        <v>562.5</v>
      </c>
      <c r="L640">
        <v>1687.5</v>
      </c>
      <c r="M640">
        <v>268.64999999999998</v>
      </c>
      <c r="N640" t="s">
        <v>41</v>
      </c>
      <c r="O640" t="s">
        <v>95</v>
      </c>
      <c r="P640" t="str">
        <f t="shared" si="18"/>
        <v>Low Value</v>
      </c>
      <c r="Q640" t="str">
        <f t="shared" si="19"/>
        <v>Low</v>
      </c>
      <c r="R640" t="str" cm="1">
        <f t="array" ref="R640">_xlfn.IFS(L640&gt;50000,"Premium",L640&gt;20000,"High",L640&gt;5000,"Medium",TRUE,"Low")</f>
        <v>Low</v>
      </c>
    </row>
    <row r="641" spans="1:18" x14ac:dyDescent="0.3">
      <c r="A641" t="s">
        <v>1391</v>
      </c>
      <c r="B641" s="1">
        <v>44947</v>
      </c>
      <c r="C641" t="s">
        <v>132</v>
      </c>
      <c r="D641" t="s">
        <v>25</v>
      </c>
      <c r="E641" t="s">
        <v>83</v>
      </c>
      <c r="F641" t="s">
        <v>32</v>
      </c>
      <c r="G641" t="s">
        <v>309</v>
      </c>
      <c r="H641">
        <v>2</v>
      </c>
      <c r="I641">
        <v>180</v>
      </c>
      <c r="J641">
        <v>25</v>
      </c>
      <c r="K641">
        <v>90</v>
      </c>
      <c r="L641">
        <v>270</v>
      </c>
      <c r="M641">
        <v>58.76</v>
      </c>
      <c r="N641" t="s">
        <v>34</v>
      </c>
      <c r="O641" t="s">
        <v>35</v>
      </c>
      <c r="P641" t="str">
        <f t="shared" si="18"/>
        <v>Low Value</v>
      </c>
      <c r="Q641" t="str">
        <f t="shared" si="19"/>
        <v>Low</v>
      </c>
      <c r="R641" t="str" cm="1">
        <f t="array" ref="R641">_xlfn.IFS(L641&gt;50000,"Premium",L641&gt;20000,"High",L641&gt;5000,"Medium",TRUE,"Low")</f>
        <v>Low</v>
      </c>
    </row>
    <row r="642" spans="1:18" x14ac:dyDescent="0.3">
      <c r="A642" t="s">
        <v>1392</v>
      </c>
      <c r="B642" s="1">
        <v>45203</v>
      </c>
      <c r="C642" t="s">
        <v>1035</v>
      </c>
      <c r="D642" t="s">
        <v>334</v>
      </c>
      <c r="E642" t="s">
        <v>48</v>
      </c>
      <c r="F642" t="s">
        <v>19</v>
      </c>
      <c r="G642" t="s">
        <v>236</v>
      </c>
      <c r="H642">
        <v>4</v>
      </c>
      <c r="I642">
        <v>800</v>
      </c>
      <c r="J642">
        <v>25</v>
      </c>
      <c r="K642">
        <v>800</v>
      </c>
      <c r="L642">
        <v>2400</v>
      </c>
      <c r="M642">
        <v>796.19</v>
      </c>
      <c r="N642" t="s">
        <v>34</v>
      </c>
      <c r="O642" t="s">
        <v>35</v>
      </c>
      <c r="P642" t="str">
        <f t="shared" si="18"/>
        <v>Low Value</v>
      </c>
      <c r="Q642" t="str">
        <f t="shared" si="19"/>
        <v>Low</v>
      </c>
      <c r="R642" t="str" cm="1">
        <f t="array" ref="R642">_xlfn.IFS(L642&gt;50000,"Premium",L642&gt;20000,"High",L642&gt;5000,"Medium",TRUE,"Low")</f>
        <v>Low</v>
      </c>
    </row>
    <row r="643" spans="1:18" x14ac:dyDescent="0.3">
      <c r="A643" t="s">
        <v>1393</v>
      </c>
      <c r="B643" s="1">
        <v>45184</v>
      </c>
      <c r="C643" t="s">
        <v>728</v>
      </c>
      <c r="D643" t="s">
        <v>750</v>
      </c>
      <c r="E643" t="s">
        <v>18</v>
      </c>
      <c r="F643" t="s">
        <v>60</v>
      </c>
      <c r="G643" t="s">
        <v>365</v>
      </c>
      <c r="H643">
        <v>3</v>
      </c>
      <c r="I643">
        <v>650</v>
      </c>
      <c r="J643">
        <v>0</v>
      </c>
      <c r="K643">
        <v>0</v>
      </c>
      <c r="L643">
        <v>1950</v>
      </c>
      <c r="M643">
        <v>134.57</v>
      </c>
      <c r="N643" t="s">
        <v>41</v>
      </c>
      <c r="O643" t="s">
        <v>95</v>
      </c>
      <c r="P643" t="str">
        <f t="shared" ref="P643:P706" si="20">IF(L643&gt;20000,"High Value","Low Value")</f>
        <v>Low Value</v>
      </c>
      <c r="Q643" t="str">
        <f t="shared" ref="Q643:Q706" si="21">IF(L643&gt;50000,"Premium",IF(L643&gt;20000,"High",IF(L643&gt;5000,"Medium","Low")))</f>
        <v>Low</v>
      </c>
      <c r="R643" t="str" cm="1">
        <f t="array" ref="R643">_xlfn.IFS(L643&gt;50000,"Premium",L643&gt;20000,"High",L643&gt;5000,"Medium",TRUE,"Low")</f>
        <v>Low</v>
      </c>
    </row>
    <row r="644" spans="1:18" x14ac:dyDescent="0.3">
      <c r="A644" t="s">
        <v>1394</v>
      </c>
      <c r="B644" s="1">
        <v>45274</v>
      </c>
      <c r="C644" t="s">
        <v>1395</v>
      </c>
      <c r="D644" t="s">
        <v>1021</v>
      </c>
      <c r="E644" t="s">
        <v>54</v>
      </c>
      <c r="F644" t="s">
        <v>49</v>
      </c>
      <c r="G644" t="s">
        <v>331</v>
      </c>
      <c r="H644">
        <v>3</v>
      </c>
      <c r="I644">
        <v>699</v>
      </c>
      <c r="J644">
        <v>15</v>
      </c>
      <c r="K644">
        <v>314.55</v>
      </c>
      <c r="L644">
        <v>1782.45</v>
      </c>
      <c r="M644">
        <v>421.17</v>
      </c>
      <c r="N644" t="s">
        <v>99</v>
      </c>
      <c r="O644" t="s">
        <v>35</v>
      </c>
      <c r="P644" t="str">
        <f t="shared" si="20"/>
        <v>Low Value</v>
      </c>
      <c r="Q644" t="str">
        <f t="shared" si="21"/>
        <v>Low</v>
      </c>
      <c r="R644" t="str" cm="1">
        <f t="array" ref="R644">_xlfn.IFS(L644&gt;50000,"Premium",L644&gt;20000,"High",L644&gt;5000,"Medium",TRUE,"Low")</f>
        <v>Low</v>
      </c>
    </row>
    <row r="645" spans="1:18" x14ac:dyDescent="0.3">
      <c r="A645" t="s">
        <v>1396</v>
      </c>
      <c r="B645" s="1">
        <v>45127</v>
      </c>
      <c r="C645" t="s">
        <v>1397</v>
      </c>
      <c r="D645" t="s">
        <v>1270</v>
      </c>
      <c r="E645" t="s">
        <v>83</v>
      </c>
      <c r="F645" t="s">
        <v>69</v>
      </c>
      <c r="G645" t="s">
        <v>275</v>
      </c>
      <c r="H645">
        <v>1</v>
      </c>
      <c r="I645">
        <v>799</v>
      </c>
      <c r="J645">
        <v>0</v>
      </c>
      <c r="K645">
        <v>0</v>
      </c>
      <c r="L645">
        <v>799</v>
      </c>
      <c r="M645">
        <v>79.44</v>
      </c>
      <c r="N645" t="s">
        <v>27</v>
      </c>
      <c r="O645" t="s">
        <v>95</v>
      </c>
      <c r="P645" t="str">
        <f t="shared" si="20"/>
        <v>Low Value</v>
      </c>
      <c r="Q645" t="str">
        <f t="shared" si="21"/>
        <v>Low</v>
      </c>
      <c r="R645" t="str" cm="1">
        <f t="array" ref="R645">_xlfn.IFS(L645&gt;50000,"Premium",L645&gt;20000,"High",L645&gt;5000,"Medium",TRUE,"Low")</f>
        <v>Low</v>
      </c>
    </row>
    <row r="646" spans="1:18" x14ac:dyDescent="0.3">
      <c r="A646" t="s">
        <v>1398</v>
      </c>
      <c r="B646" s="1">
        <v>45248</v>
      </c>
      <c r="C646" t="s">
        <v>1399</v>
      </c>
      <c r="D646" t="s">
        <v>1400</v>
      </c>
      <c r="E646" t="s">
        <v>26</v>
      </c>
      <c r="F646" t="s">
        <v>19</v>
      </c>
      <c r="G646" t="s">
        <v>103</v>
      </c>
      <c r="H646">
        <v>4</v>
      </c>
      <c r="I646">
        <v>3500</v>
      </c>
      <c r="J646">
        <v>25</v>
      </c>
      <c r="K646">
        <v>3500</v>
      </c>
      <c r="L646">
        <v>10500</v>
      </c>
      <c r="M646">
        <v>2230.52</v>
      </c>
      <c r="N646" t="s">
        <v>41</v>
      </c>
      <c r="O646" t="s">
        <v>35</v>
      </c>
      <c r="P646" t="str">
        <f t="shared" si="20"/>
        <v>Low Value</v>
      </c>
      <c r="Q646" t="str">
        <f t="shared" si="21"/>
        <v>Medium</v>
      </c>
      <c r="R646" t="str" cm="1">
        <f t="array" ref="R646">_xlfn.IFS(L646&gt;50000,"Premium",L646&gt;20000,"High",L646&gt;5000,"Medium",TRUE,"Low")</f>
        <v>Medium</v>
      </c>
    </row>
    <row r="647" spans="1:18" x14ac:dyDescent="0.3">
      <c r="A647" t="s">
        <v>1401</v>
      </c>
      <c r="B647" s="1">
        <v>45076</v>
      </c>
      <c r="C647" t="s">
        <v>1084</v>
      </c>
      <c r="D647" t="s">
        <v>405</v>
      </c>
      <c r="E647" t="s">
        <v>48</v>
      </c>
      <c r="F647" t="s">
        <v>69</v>
      </c>
      <c r="G647" t="s">
        <v>505</v>
      </c>
      <c r="H647">
        <v>1</v>
      </c>
      <c r="I647">
        <v>499</v>
      </c>
      <c r="J647">
        <v>5</v>
      </c>
      <c r="K647">
        <v>24.95</v>
      </c>
      <c r="L647">
        <v>474.05</v>
      </c>
      <c r="M647">
        <v>142.44</v>
      </c>
      <c r="N647" t="s">
        <v>34</v>
      </c>
      <c r="O647" t="s">
        <v>22</v>
      </c>
      <c r="P647" t="str">
        <f t="shared" si="20"/>
        <v>Low Value</v>
      </c>
      <c r="Q647" t="str">
        <f t="shared" si="21"/>
        <v>Low</v>
      </c>
      <c r="R647" t="str" cm="1">
        <f t="array" ref="R647">_xlfn.IFS(L647&gt;50000,"Premium",L647&gt;20000,"High",L647&gt;5000,"Medium",TRUE,"Low")</f>
        <v>Low</v>
      </c>
    </row>
    <row r="648" spans="1:18" x14ac:dyDescent="0.3">
      <c r="A648" t="s">
        <v>1402</v>
      </c>
      <c r="B648" s="1">
        <v>45230</v>
      </c>
      <c r="C648" t="s">
        <v>1403</v>
      </c>
      <c r="D648" t="s">
        <v>1069</v>
      </c>
      <c r="E648" t="s">
        <v>78</v>
      </c>
      <c r="F648" t="s">
        <v>60</v>
      </c>
      <c r="G648" t="s">
        <v>115</v>
      </c>
      <c r="H648">
        <v>5</v>
      </c>
      <c r="I648">
        <v>1800</v>
      </c>
      <c r="J648">
        <v>20</v>
      </c>
      <c r="K648">
        <v>1800</v>
      </c>
      <c r="L648">
        <v>7200</v>
      </c>
      <c r="M648">
        <v>1321.75</v>
      </c>
      <c r="N648" t="s">
        <v>27</v>
      </c>
      <c r="O648" t="s">
        <v>35</v>
      </c>
      <c r="P648" t="str">
        <f t="shared" si="20"/>
        <v>Low Value</v>
      </c>
      <c r="Q648" t="str">
        <f t="shared" si="21"/>
        <v>Medium</v>
      </c>
      <c r="R648" t="str" cm="1">
        <f t="array" ref="R648">_xlfn.IFS(L648&gt;50000,"Premium",L648&gt;20000,"High",L648&gt;5000,"Medium",TRUE,"Low")</f>
        <v>Medium</v>
      </c>
    </row>
    <row r="649" spans="1:18" x14ac:dyDescent="0.3">
      <c r="A649" t="s">
        <v>1404</v>
      </c>
      <c r="B649" s="1">
        <v>45043</v>
      </c>
      <c r="C649" t="s">
        <v>1405</v>
      </c>
      <c r="D649" t="s">
        <v>1009</v>
      </c>
      <c r="E649" t="s">
        <v>83</v>
      </c>
      <c r="F649" t="s">
        <v>39</v>
      </c>
      <c r="G649" t="s">
        <v>126</v>
      </c>
      <c r="H649">
        <v>3</v>
      </c>
      <c r="I649">
        <v>4200</v>
      </c>
      <c r="J649">
        <v>0</v>
      </c>
      <c r="K649">
        <v>0</v>
      </c>
      <c r="L649">
        <v>12600</v>
      </c>
      <c r="M649">
        <v>1190.72</v>
      </c>
      <c r="N649" t="s">
        <v>21</v>
      </c>
      <c r="O649" t="s">
        <v>35</v>
      </c>
      <c r="P649" t="str">
        <f t="shared" si="20"/>
        <v>Low Value</v>
      </c>
      <c r="Q649" t="str">
        <f t="shared" si="21"/>
        <v>Medium</v>
      </c>
      <c r="R649" t="str" cm="1">
        <f t="array" ref="R649">_xlfn.IFS(L649&gt;50000,"Premium",L649&gt;20000,"High",L649&gt;5000,"Medium",TRUE,"Low")</f>
        <v>Medium</v>
      </c>
    </row>
    <row r="650" spans="1:18" x14ac:dyDescent="0.3">
      <c r="A650" t="s">
        <v>1406</v>
      </c>
      <c r="B650" s="1">
        <v>45020</v>
      </c>
      <c r="C650" t="s">
        <v>1407</v>
      </c>
      <c r="D650" t="s">
        <v>1408</v>
      </c>
      <c r="E650" t="s">
        <v>83</v>
      </c>
      <c r="F650" t="s">
        <v>69</v>
      </c>
      <c r="G650" t="s">
        <v>111</v>
      </c>
      <c r="H650">
        <v>2</v>
      </c>
      <c r="I650">
        <v>3499</v>
      </c>
      <c r="J650">
        <v>5</v>
      </c>
      <c r="K650">
        <v>349.9</v>
      </c>
      <c r="L650">
        <v>6648.1</v>
      </c>
      <c r="M650">
        <v>806.89</v>
      </c>
      <c r="N650" t="s">
        <v>41</v>
      </c>
      <c r="O650" t="s">
        <v>35</v>
      </c>
      <c r="P650" t="str">
        <f t="shared" si="20"/>
        <v>Low Value</v>
      </c>
      <c r="Q650" t="str">
        <f t="shared" si="21"/>
        <v>Medium</v>
      </c>
      <c r="R650" t="str" cm="1">
        <f t="array" ref="R650">_xlfn.IFS(L650&gt;50000,"Premium",L650&gt;20000,"High",L650&gt;5000,"Medium",TRUE,"Low")</f>
        <v>Medium</v>
      </c>
    </row>
    <row r="651" spans="1:18" x14ac:dyDescent="0.3">
      <c r="A651" t="s">
        <v>1409</v>
      </c>
      <c r="B651" s="1">
        <v>45116</v>
      </c>
      <c r="C651" t="s">
        <v>1410</v>
      </c>
      <c r="D651" t="s">
        <v>1411</v>
      </c>
      <c r="E651" t="s">
        <v>48</v>
      </c>
      <c r="F651" t="s">
        <v>69</v>
      </c>
      <c r="G651" t="s">
        <v>202</v>
      </c>
      <c r="H651">
        <v>5</v>
      </c>
      <c r="I651">
        <v>1299</v>
      </c>
      <c r="J651">
        <v>25</v>
      </c>
      <c r="K651">
        <v>1623.75</v>
      </c>
      <c r="L651">
        <v>4871.25</v>
      </c>
      <c r="M651">
        <v>294.26</v>
      </c>
      <c r="N651" t="s">
        <v>41</v>
      </c>
      <c r="O651" t="s">
        <v>95</v>
      </c>
      <c r="P651" t="str">
        <f t="shared" si="20"/>
        <v>Low Value</v>
      </c>
      <c r="Q651" t="str">
        <f t="shared" si="21"/>
        <v>Low</v>
      </c>
      <c r="R651" t="str" cm="1">
        <f t="array" ref="R651">_xlfn.IFS(L651&gt;50000,"Premium",L651&gt;20000,"High",L651&gt;5000,"Medium",TRUE,"Low")</f>
        <v>Low</v>
      </c>
    </row>
    <row r="652" spans="1:18" x14ac:dyDescent="0.3">
      <c r="A652" t="s">
        <v>1412</v>
      </c>
      <c r="B652" s="1">
        <v>45010</v>
      </c>
      <c r="C652" t="s">
        <v>314</v>
      </c>
      <c r="D652" t="s">
        <v>1413</v>
      </c>
      <c r="E652" t="s">
        <v>48</v>
      </c>
      <c r="F652" t="s">
        <v>74</v>
      </c>
      <c r="G652" t="s">
        <v>341</v>
      </c>
      <c r="H652">
        <v>1</v>
      </c>
      <c r="I652">
        <v>700</v>
      </c>
      <c r="J652">
        <v>0</v>
      </c>
      <c r="K652">
        <v>0</v>
      </c>
      <c r="L652">
        <v>700</v>
      </c>
      <c r="M652">
        <v>119.96</v>
      </c>
      <c r="N652" t="s">
        <v>27</v>
      </c>
      <c r="O652" t="s">
        <v>35</v>
      </c>
      <c r="P652" t="str">
        <f t="shared" si="20"/>
        <v>Low Value</v>
      </c>
      <c r="Q652" t="str">
        <f t="shared" si="21"/>
        <v>Low</v>
      </c>
      <c r="R652" t="str" cm="1">
        <f t="array" ref="R652">_xlfn.IFS(L652&gt;50000,"Premium",L652&gt;20000,"High",L652&gt;5000,"Medium",TRUE,"Low")</f>
        <v>Low</v>
      </c>
    </row>
    <row r="653" spans="1:18" x14ac:dyDescent="0.3">
      <c r="A653" t="s">
        <v>1414</v>
      </c>
      <c r="B653" s="1">
        <v>45206</v>
      </c>
      <c r="C653" t="s">
        <v>1415</v>
      </c>
      <c r="D653" t="s">
        <v>1069</v>
      </c>
      <c r="E653" t="s">
        <v>54</v>
      </c>
      <c r="F653" t="s">
        <v>74</v>
      </c>
      <c r="G653" t="s">
        <v>341</v>
      </c>
      <c r="H653">
        <v>3</v>
      </c>
      <c r="I653">
        <v>700</v>
      </c>
      <c r="J653">
        <v>15</v>
      </c>
      <c r="K653">
        <v>315</v>
      </c>
      <c r="L653">
        <v>1785</v>
      </c>
      <c r="M653">
        <v>569.04999999999995</v>
      </c>
      <c r="N653" t="s">
        <v>34</v>
      </c>
      <c r="O653" t="s">
        <v>35</v>
      </c>
      <c r="P653" t="str">
        <f t="shared" si="20"/>
        <v>Low Value</v>
      </c>
      <c r="Q653" t="str">
        <f t="shared" si="21"/>
        <v>Low</v>
      </c>
      <c r="R653" t="str" cm="1">
        <f t="array" ref="R653">_xlfn.IFS(L653&gt;50000,"Premium",L653&gt;20000,"High",L653&gt;5000,"Medium",TRUE,"Low")</f>
        <v>Low</v>
      </c>
    </row>
    <row r="654" spans="1:18" x14ac:dyDescent="0.3">
      <c r="A654" t="s">
        <v>1416</v>
      </c>
      <c r="B654" s="1">
        <v>45172</v>
      </c>
      <c r="C654" t="s">
        <v>280</v>
      </c>
      <c r="D654" t="s">
        <v>318</v>
      </c>
      <c r="E654" t="s">
        <v>54</v>
      </c>
      <c r="F654" t="s">
        <v>19</v>
      </c>
      <c r="G654" t="s">
        <v>65</v>
      </c>
      <c r="H654">
        <v>5</v>
      </c>
      <c r="I654">
        <v>55000</v>
      </c>
      <c r="J654">
        <v>0</v>
      </c>
      <c r="K654">
        <v>0</v>
      </c>
      <c r="L654">
        <v>275000</v>
      </c>
      <c r="M654">
        <v>39166.78</v>
      </c>
      <c r="N654" t="s">
        <v>34</v>
      </c>
      <c r="O654" t="s">
        <v>35</v>
      </c>
      <c r="P654" t="str">
        <f t="shared" si="20"/>
        <v>High Value</v>
      </c>
      <c r="Q654" t="str">
        <f t="shared" si="21"/>
        <v>Premium</v>
      </c>
      <c r="R654" t="str" cm="1">
        <f t="array" ref="R654">_xlfn.IFS(L654&gt;50000,"Premium",L654&gt;20000,"High",L654&gt;5000,"Medium",TRUE,"Low")</f>
        <v>Premium</v>
      </c>
    </row>
    <row r="655" spans="1:18" x14ac:dyDescent="0.3">
      <c r="A655" t="s">
        <v>1417</v>
      </c>
      <c r="B655" s="1">
        <v>45094</v>
      </c>
      <c r="C655" t="s">
        <v>167</v>
      </c>
      <c r="D655" t="s">
        <v>1418</v>
      </c>
      <c r="E655" t="s">
        <v>59</v>
      </c>
      <c r="F655" t="s">
        <v>19</v>
      </c>
      <c r="G655" t="s">
        <v>130</v>
      </c>
      <c r="H655">
        <v>2</v>
      </c>
      <c r="I655">
        <v>22000</v>
      </c>
      <c r="J655">
        <v>20</v>
      </c>
      <c r="K655">
        <v>8800</v>
      </c>
      <c r="L655">
        <v>35200</v>
      </c>
      <c r="M655">
        <v>7319.14</v>
      </c>
      <c r="N655" t="s">
        <v>99</v>
      </c>
      <c r="O655" t="s">
        <v>95</v>
      </c>
      <c r="P655" t="str">
        <f t="shared" si="20"/>
        <v>High Value</v>
      </c>
      <c r="Q655" t="str">
        <f t="shared" si="21"/>
        <v>High</v>
      </c>
      <c r="R655" t="str" cm="1">
        <f t="array" ref="R655">_xlfn.IFS(L655&gt;50000,"Premium",L655&gt;20000,"High",L655&gt;5000,"Medium",TRUE,"Low")</f>
        <v>High</v>
      </c>
    </row>
    <row r="656" spans="1:18" x14ac:dyDescent="0.3">
      <c r="A656" t="s">
        <v>1419</v>
      </c>
      <c r="B656" s="1">
        <v>45155</v>
      </c>
      <c r="C656" t="s">
        <v>399</v>
      </c>
      <c r="D656" t="s">
        <v>182</v>
      </c>
      <c r="E656" t="s">
        <v>59</v>
      </c>
      <c r="F656" t="s">
        <v>60</v>
      </c>
      <c r="G656" t="s">
        <v>115</v>
      </c>
      <c r="H656">
        <v>1</v>
      </c>
      <c r="I656">
        <v>1800</v>
      </c>
      <c r="J656">
        <v>20</v>
      </c>
      <c r="K656">
        <v>360</v>
      </c>
      <c r="L656">
        <v>1440</v>
      </c>
      <c r="M656">
        <v>242.39</v>
      </c>
      <c r="N656" t="s">
        <v>34</v>
      </c>
      <c r="O656" t="s">
        <v>22</v>
      </c>
      <c r="P656" t="str">
        <f t="shared" si="20"/>
        <v>Low Value</v>
      </c>
      <c r="Q656" t="str">
        <f t="shared" si="21"/>
        <v>Low</v>
      </c>
      <c r="R656" t="str" cm="1">
        <f t="array" ref="R656">_xlfn.IFS(L656&gt;50000,"Premium",L656&gt;20000,"High",L656&gt;5000,"Medium",TRUE,"Low")</f>
        <v>Low</v>
      </c>
    </row>
    <row r="657" spans="1:18" x14ac:dyDescent="0.3">
      <c r="A657" t="s">
        <v>1420</v>
      </c>
      <c r="B657" s="1">
        <v>45002</v>
      </c>
      <c r="C657" t="s">
        <v>798</v>
      </c>
      <c r="D657" t="s">
        <v>1370</v>
      </c>
      <c r="E657" t="s">
        <v>48</v>
      </c>
      <c r="F657" t="s">
        <v>60</v>
      </c>
      <c r="G657" t="s">
        <v>349</v>
      </c>
      <c r="H657">
        <v>4</v>
      </c>
      <c r="I657">
        <v>250</v>
      </c>
      <c r="J657">
        <v>10</v>
      </c>
      <c r="K657">
        <v>100</v>
      </c>
      <c r="L657">
        <v>900</v>
      </c>
      <c r="M657">
        <v>149.25</v>
      </c>
      <c r="N657" t="s">
        <v>34</v>
      </c>
      <c r="O657" t="s">
        <v>22</v>
      </c>
      <c r="P657" t="str">
        <f t="shared" si="20"/>
        <v>Low Value</v>
      </c>
      <c r="Q657" t="str">
        <f t="shared" si="21"/>
        <v>Low</v>
      </c>
      <c r="R657" t="str" cm="1">
        <f t="array" ref="R657">_xlfn.IFS(L657&gt;50000,"Premium",L657&gt;20000,"High",L657&gt;5000,"Medium",TRUE,"Low")</f>
        <v>Low</v>
      </c>
    </row>
    <row r="658" spans="1:18" x14ac:dyDescent="0.3">
      <c r="A658" t="s">
        <v>1421</v>
      </c>
      <c r="B658" s="1">
        <v>45214</v>
      </c>
      <c r="C658" t="s">
        <v>1209</v>
      </c>
      <c r="D658" t="s">
        <v>1422</v>
      </c>
      <c r="E658" t="s">
        <v>83</v>
      </c>
      <c r="F658" t="s">
        <v>19</v>
      </c>
      <c r="G658" t="s">
        <v>65</v>
      </c>
      <c r="H658">
        <v>4</v>
      </c>
      <c r="I658">
        <v>55000</v>
      </c>
      <c r="J658">
        <v>25</v>
      </c>
      <c r="K658">
        <v>55000</v>
      </c>
      <c r="L658">
        <v>165000</v>
      </c>
      <c r="M658">
        <v>57383.56</v>
      </c>
      <c r="N658" t="s">
        <v>41</v>
      </c>
      <c r="O658" t="s">
        <v>22</v>
      </c>
      <c r="P658" t="str">
        <f t="shared" si="20"/>
        <v>High Value</v>
      </c>
      <c r="Q658" t="str">
        <f t="shared" si="21"/>
        <v>Premium</v>
      </c>
      <c r="R658" t="str" cm="1">
        <f t="array" ref="R658">_xlfn.IFS(L658&gt;50000,"Premium",L658&gt;20000,"High",L658&gt;5000,"Medium",TRUE,"Low")</f>
        <v>Premium</v>
      </c>
    </row>
    <row r="659" spans="1:18" x14ac:dyDescent="0.3">
      <c r="A659" t="s">
        <v>1423</v>
      </c>
      <c r="B659" s="1">
        <v>44998</v>
      </c>
      <c r="C659" t="s">
        <v>1403</v>
      </c>
      <c r="D659" t="s">
        <v>1279</v>
      </c>
      <c r="E659" t="s">
        <v>48</v>
      </c>
      <c r="F659" t="s">
        <v>49</v>
      </c>
      <c r="G659" t="s">
        <v>331</v>
      </c>
      <c r="H659">
        <v>5</v>
      </c>
      <c r="I659">
        <v>699</v>
      </c>
      <c r="J659">
        <v>0</v>
      </c>
      <c r="K659">
        <v>0</v>
      </c>
      <c r="L659">
        <v>3495</v>
      </c>
      <c r="M659">
        <v>325.36</v>
      </c>
      <c r="N659" t="s">
        <v>99</v>
      </c>
      <c r="O659" t="s">
        <v>95</v>
      </c>
      <c r="P659" t="str">
        <f t="shared" si="20"/>
        <v>Low Value</v>
      </c>
      <c r="Q659" t="str">
        <f t="shared" si="21"/>
        <v>Low</v>
      </c>
      <c r="R659" t="str" cm="1">
        <f t="array" ref="R659">_xlfn.IFS(L659&gt;50000,"Premium",L659&gt;20000,"High",L659&gt;5000,"Medium",TRUE,"Low")</f>
        <v>Low</v>
      </c>
    </row>
    <row r="660" spans="1:18" x14ac:dyDescent="0.3">
      <c r="A660" t="s">
        <v>1424</v>
      </c>
      <c r="B660" s="1">
        <v>45119</v>
      </c>
      <c r="C660" t="s">
        <v>749</v>
      </c>
      <c r="D660" t="s">
        <v>87</v>
      </c>
      <c r="E660" t="s">
        <v>54</v>
      </c>
      <c r="F660" t="s">
        <v>19</v>
      </c>
      <c r="G660" t="s">
        <v>20</v>
      </c>
      <c r="H660">
        <v>4</v>
      </c>
      <c r="I660">
        <v>18000</v>
      </c>
      <c r="J660">
        <v>25</v>
      </c>
      <c r="K660">
        <v>18000</v>
      </c>
      <c r="L660">
        <v>54000</v>
      </c>
      <c r="M660">
        <v>17513.45</v>
      </c>
      <c r="N660" t="s">
        <v>21</v>
      </c>
      <c r="O660" t="s">
        <v>35</v>
      </c>
      <c r="P660" t="str">
        <f t="shared" si="20"/>
        <v>High Value</v>
      </c>
      <c r="Q660" t="str">
        <f t="shared" si="21"/>
        <v>Premium</v>
      </c>
      <c r="R660" t="str" cm="1">
        <f t="array" ref="R660">_xlfn.IFS(L660&gt;50000,"Premium",L660&gt;20000,"High",L660&gt;5000,"Medium",TRUE,"Low")</f>
        <v>Premium</v>
      </c>
    </row>
    <row r="661" spans="1:18" x14ac:dyDescent="0.3">
      <c r="A661" t="s">
        <v>1425</v>
      </c>
      <c r="B661" s="1">
        <v>45029</v>
      </c>
      <c r="C661" t="s">
        <v>1407</v>
      </c>
      <c r="D661" t="s">
        <v>572</v>
      </c>
      <c r="E661" t="s">
        <v>78</v>
      </c>
      <c r="F661" t="s">
        <v>69</v>
      </c>
      <c r="G661" t="s">
        <v>111</v>
      </c>
      <c r="H661">
        <v>4</v>
      </c>
      <c r="I661">
        <v>3499</v>
      </c>
      <c r="J661">
        <v>10</v>
      </c>
      <c r="K661">
        <v>1399.6</v>
      </c>
      <c r="L661">
        <v>12596.4</v>
      </c>
      <c r="M661">
        <v>2722.84</v>
      </c>
      <c r="N661" t="s">
        <v>41</v>
      </c>
      <c r="O661" t="s">
        <v>95</v>
      </c>
      <c r="P661" t="str">
        <f t="shared" si="20"/>
        <v>Low Value</v>
      </c>
      <c r="Q661" t="str">
        <f t="shared" si="21"/>
        <v>Medium</v>
      </c>
      <c r="R661" t="str" cm="1">
        <f t="array" ref="R661">_xlfn.IFS(L661&gt;50000,"Premium",L661&gt;20000,"High",L661&gt;5000,"Medium",TRUE,"Low")</f>
        <v>Medium</v>
      </c>
    </row>
    <row r="662" spans="1:18" x14ac:dyDescent="0.3">
      <c r="A662" t="s">
        <v>1426</v>
      </c>
      <c r="B662" s="1">
        <v>45164</v>
      </c>
      <c r="C662" t="s">
        <v>1427</v>
      </c>
      <c r="D662" t="s">
        <v>1304</v>
      </c>
      <c r="E662" t="s">
        <v>78</v>
      </c>
      <c r="F662" t="s">
        <v>69</v>
      </c>
      <c r="G662" t="s">
        <v>505</v>
      </c>
      <c r="H662">
        <v>1</v>
      </c>
      <c r="I662">
        <v>499</v>
      </c>
      <c r="J662">
        <v>5</v>
      </c>
      <c r="K662">
        <v>24.95</v>
      </c>
      <c r="L662">
        <v>474.05</v>
      </c>
      <c r="M662">
        <v>61.06</v>
      </c>
      <c r="N662" t="s">
        <v>41</v>
      </c>
      <c r="O662" t="s">
        <v>35</v>
      </c>
      <c r="P662" t="str">
        <f t="shared" si="20"/>
        <v>Low Value</v>
      </c>
      <c r="Q662" t="str">
        <f t="shared" si="21"/>
        <v>Low</v>
      </c>
      <c r="R662" t="str" cm="1">
        <f t="array" ref="R662">_xlfn.IFS(L662&gt;50000,"Premium",L662&gt;20000,"High",L662&gt;5000,"Medium",TRUE,"Low")</f>
        <v>Low</v>
      </c>
    </row>
    <row r="663" spans="1:18" x14ac:dyDescent="0.3">
      <c r="A663" t="s">
        <v>1428</v>
      </c>
      <c r="B663" s="1">
        <v>45178</v>
      </c>
      <c r="C663" t="s">
        <v>926</v>
      </c>
      <c r="D663" t="s">
        <v>281</v>
      </c>
      <c r="E663" t="s">
        <v>48</v>
      </c>
      <c r="F663" t="s">
        <v>60</v>
      </c>
      <c r="G663" t="s">
        <v>115</v>
      </c>
      <c r="H663">
        <v>2</v>
      </c>
      <c r="I663">
        <v>1800</v>
      </c>
      <c r="J663">
        <v>0</v>
      </c>
      <c r="K663">
        <v>0</v>
      </c>
      <c r="L663">
        <v>3600</v>
      </c>
      <c r="M663">
        <v>308.89999999999998</v>
      </c>
      <c r="N663" t="s">
        <v>21</v>
      </c>
      <c r="O663" t="s">
        <v>22</v>
      </c>
      <c r="P663" t="str">
        <f t="shared" si="20"/>
        <v>Low Value</v>
      </c>
      <c r="Q663" t="str">
        <f t="shared" si="21"/>
        <v>Low</v>
      </c>
      <c r="R663" t="str" cm="1">
        <f t="array" ref="R663">_xlfn.IFS(L663&gt;50000,"Premium",L663&gt;20000,"High",L663&gt;5000,"Medium",TRUE,"Low")</f>
        <v>Low</v>
      </c>
    </row>
    <row r="664" spans="1:18" x14ac:dyDescent="0.3">
      <c r="A664" t="s">
        <v>1429</v>
      </c>
      <c r="B664" s="1">
        <v>45216</v>
      </c>
      <c r="C664" t="s">
        <v>1059</v>
      </c>
      <c r="D664" t="s">
        <v>428</v>
      </c>
      <c r="E664" t="s">
        <v>59</v>
      </c>
      <c r="F664" t="s">
        <v>39</v>
      </c>
      <c r="G664" t="s">
        <v>209</v>
      </c>
      <c r="H664">
        <v>3</v>
      </c>
      <c r="I664">
        <v>3200</v>
      </c>
      <c r="J664">
        <v>25</v>
      </c>
      <c r="K664">
        <v>2400</v>
      </c>
      <c r="L664">
        <v>7200</v>
      </c>
      <c r="M664">
        <v>1841.57</v>
      </c>
      <c r="N664" t="s">
        <v>34</v>
      </c>
      <c r="O664" t="s">
        <v>35</v>
      </c>
      <c r="P664" t="str">
        <f t="shared" si="20"/>
        <v>Low Value</v>
      </c>
      <c r="Q664" t="str">
        <f t="shared" si="21"/>
        <v>Medium</v>
      </c>
      <c r="R664" t="str" cm="1">
        <f t="array" ref="R664">_xlfn.IFS(L664&gt;50000,"Premium",L664&gt;20000,"High",L664&gt;5000,"Medium",TRUE,"Low")</f>
        <v>Medium</v>
      </c>
    </row>
    <row r="665" spans="1:18" x14ac:dyDescent="0.3">
      <c r="A665" t="s">
        <v>1430</v>
      </c>
      <c r="B665" s="1">
        <v>45224</v>
      </c>
      <c r="C665" t="s">
        <v>766</v>
      </c>
      <c r="D665" t="s">
        <v>47</v>
      </c>
      <c r="E665" t="s">
        <v>59</v>
      </c>
      <c r="F665" t="s">
        <v>19</v>
      </c>
      <c r="G665" t="s">
        <v>65</v>
      </c>
      <c r="H665">
        <v>3</v>
      </c>
      <c r="I665">
        <v>55000</v>
      </c>
      <c r="J665">
        <v>15</v>
      </c>
      <c r="K665">
        <v>24750</v>
      </c>
      <c r="L665">
        <v>140250</v>
      </c>
      <c r="M665">
        <v>43967.7</v>
      </c>
      <c r="N665" t="s">
        <v>34</v>
      </c>
      <c r="O665" t="s">
        <v>35</v>
      </c>
      <c r="P665" t="str">
        <f t="shared" si="20"/>
        <v>High Value</v>
      </c>
      <c r="Q665" t="str">
        <f t="shared" si="21"/>
        <v>Premium</v>
      </c>
      <c r="R665" t="str" cm="1">
        <f t="array" ref="R665">_xlfn.IFS(L665&gt;50000,"Premium",L665&gt;20000,"High",L665&gt;5000,"Medium",TRUE,"Low")</f>
        <v>Premium</v>
      </c>
    </row>
    <row r="666" spans="1:18" x14ac:dyDescent="0.3">
      <c r="A666" t="s">
        <v>1431</v>
      </c>
      <c r="B666" s="1">
        <v>45141</v>
      </c>
      <c r="C666" t="s">
        <v>610</v>
      </c>
      <c r="D666" t="s">
        <v>789</v>
      </c>
      <c r="E666" t="s">
        <v>31</v>
      </c>
      <c r="F666" t="s">
        <v>60</v>
      </c>
      <c r="G666" t="s">
        <v>141</v>
      </c>
      <c r="H666">
        <v>1</v>
      </c>
      <c r="I666">
        <v>350</v>
      </c>
      <c r="J666">
        <v>10</v>
      </c>
      <c r="K666">
        <v>35</v>
      </c>
      <c r="L666">
        <v>315</v>
      </c>
      <c r="M666">
        <v>43.31</v>
      </c>
      <c r="N666" t="s">
        <v>27</v>
      </c>
      <c r="O666" t="s">
        <v>35</v>
      </c>
      <c r="P666" t="str">
        <f t="shared" si="20"/>
        <v>Low Value</v>
      </c>
      <c r="Q666" t="str">
        <f t="shared" si="21"/>
        <v>Low</v>
      </c>
      <c r="R666" t="str" cm="1">
        <f t="array" ref="R666">_xlfn.IFS(L666&gt;50000,"Premium",L666&gt;20000,"High",L666&gt;5000,"Medium",TRUE,"Low")</f>
        <v>Low</v>
      </c>
    </row>
    <row r="667" spans="1:18" x14ac:dyDescent="0.3">
      <c r="A667" t="s">
        <v>1432</v>
      </c>
      <c r="B667" s="1">
        <v>45233</v>
      </c>
      <c r="C667" t="s">
        <v>1433</v>
      </c>
      <c r="D667" t="s">
        <v>1266</v>
      </c>
      <c r="E667" t="s">
        <v>48</v>
      </c>
      <c r="F667" t="s">
        <v>49</v>
      </c>
      <c r="G667" t="s">
        <v>94</v>
      </c>
      <c r="H667">
        <v>5</v>
      </c>
      <c r="I667">
        <v>399</v>
      </c>
      <c r="J667">
        <v>10</v>
      </c>
      <c r="K667">
        <v>199.5</v>
      </c>
      <c r="L667">
        <v>1795.5</v>
      </c>
      <c r="M667">
        <v>559.72</v>
      </c>
      <c r="N667" t="s">
        <v>99</v>
      </c>
      <c r="O667" t="s">
        <v>95</v>
      </c>
      <c r="P667" t="str">
        <f t="shared" si="20"/>
        <v>Low Value</v>
      </c>
      <c r="Q667" t="str">
        <f t="shared" si="21"/>
        <v>Low</v>
      </c>
      <c r="R667" t="str" cm="1">
        <f t="array" ref="R667">_xlfn.IFS(L667&gt;50000,"Premium",L667&gt;20000,"High",L667&gt;5000,"Medium",TRUE,"Low")</f>
        <v>Low</v>
      </c>
    </row>
    <row r="668" spans="1:18" x14ac:dyDescent="0.3">
      <c r="A668" t="s">
        <v>1434</v>
      </c>
      <c r="B668" s="1">
        <v>45223</v>
      </c>
      <c r="C668" t="s">
        <v>463</v>
      </c>
      <c r="D668" t="s">
        <v>1435</v>
      </c>
      <c r="E668" t="s">
        <v>26</v>
      </c>
      <c r="F668" t="s">
        <v>32</v>
      </c>
      <c r="G668" t="s">
        <v>33</v>
      </c>
      <c r="H668">
        <v>2</v>
      </c>
      <c r="I668">
        <v>400</v>
      </c>
      <c r="J668">
        <v>0</v>
      </c>
      <c r="K668">
        <v>0</v>
      </c>
      <c r="L668">
        <v>800</v>
      </c>
      <c r="M668">
        <v>72.87</v>
      </c>
      <c r="N668" t="s">
        <v>34</v>
      </c>
      <c r="O668" t="s">
        <v>35</v>
      </c>
      <c r="P668" t="str">
        <f t="shared" si="20"/>
        <v>Low Value</v>
      </c>
      <c r="Q668" t="str">
        <f t="shared" si="21"/>
        <v>Low</v>
      </c>
      <c r="R668" t="str" cm="1">
        <f t="array" ref="R668">_xlfn.IFS(L668&gt;50000,"Premium",L668&gt;20000,"High",L668&gt;5000,"Medium",TRUE,"Low")</f>
        <v>Low</v>
      </c>
    </row>
    <row r="669" spans="1:18" x14ac:dyDescent="0.3">
      <c r="A669" t="s">
        <v>1436</v>
      </c>
      <c r="B669" s="1">
        <v>44979</v>
      </c>
      <c r="C669" t="s">
        <v>1437</v>
      </c>
      <c r="D669" t="s">
        <v>222</v>
      </c>
      <c r="E669" t="s">
        <v>18</v>
      </c>
      <c r="F669" t="s">
        <v>69</v>
      </c>
      <c r="G669" t="s">
        <v>202</v>
      </c>
      <c r="H669">
        <v>5</v>
      </c>
      <c r="I669">
        <v>1299</v>
      </c>
      <c r="J669">
        <v>5</v>
      </c>
      <c r="K669">
        <v>324.75</v>
      </c>
      <c r="L669">
        <v>6170.25</v>
      </c>
      <c r="M669">
        <v>1847.82</v>
      </c>
      <c r="N669" t="s">
        <v>41</v>
      </c>
      <c r="O669" t="s">
        <v>22</v>
      </c>
      <c r="P669" t="str">
        <f t="shared" si="20"/>
        <v>Low Value</v>
      </c>
      <c r="Q669" t="str">
        <f t="shared" si="21"/>
        <v>Medium</v>
      </c>
      <c r="R669" t="str" cm="1">
        <f t="array" ref="R669">_xlfn.IFS(L669&gt;50000,"Premium",L669&gt;20000,"High",L669&gt;5000,"Medium",TRUE,"Low")</f>
        <v>Medium</v>
      </c>
    </row>
    <row r="670" spans="1:18" x14ac:dyDescent="0.3">
      <c r="A670" t="s">
        <v>1438</v>
      </c>
      <c r="B670" s="1">
        <v>44966</v>
      </c>
      <c r="C670" t="s">
        <v>948</v>
      </c>
      <c r="D670" t="s">
        <v>1411</v>
      </c>
      <c r="E670" t="s">
        <v>54</v>
      </c>
      <c r="F670" t="s">
        <v>19</v>
      </c>
      <c r="G670" t="s">
        <v>107</v>
      </c>
      <c r="H670">
        <v>2</v>
      </c>
      <c r="I670">
        <v>4500</v>
      </c>
      <c r="J670">
        <v>0</v>
      </c>
      <c r="K670">
        <v>0</v>
      </c>
      <c r="L670">
        <v>9000</v>
      </c>
      <c r="M670">
        <v>1744.7</v>
      </c>
      <c r="N670" t="s">
        <v>21</v>
      </c>
      <c r="O670" t="s">
        <v>95</v>
      </c>
      <c r="P670" t="str">
        <f t="shared" si="20"/>
        <v>Low Value</v>
      </c>
      <c r="Q670" t="str">
        <f t="shared" si="21"/>
        <v>Medium</v>
      </c>
      <c r="R670" t="str" cm="1">
        <f t="array" ref="R670">_xlfn.IFS(L670&gt;50000,"Premium",L670&gt;20000,"High",L670&gt;5000,"Medium",TRUE,"Low")</f>
        <v>Medium</v>
      </c>
    </row>
    <row r="671" spans="1:18" x14ac:dyDescent="0.3">
      <c r="A671" t="s">
        <v>1439</v>
      </c>
      <c r="B671" s="1">
        <v>45102</v>
      </c>
      <c r="C671" t="s">
        <v>657</v>
      </c>
      <c r="D671" t="s">
        <v>824</v>
      </c>
      <c r="E671" t="s">
        <v>83</v>
      </c>
      <c r="F671" t="s">
        <v>69</v>
      </c>
      <c r="G671" t="s">
        <v>70</v>
      </c>
      <c r="H671">
        <v>3</v>
      </c>
      <c r="I671">
        <v>2499</v>
      </c>
      <c r="J671">
        <v>0</v>
      </c>
      <c r="K671">
        <v>0</v>
      </c>
      <c r="L671">
        <v>7497</v>
      </c>
      <c r="M671">
        <v>2049.2199999999998</v>
      </c>
      <c r="N671" t="s">
        <v>27</v>
      </c>
      <c r="O671" t="s">
        <v>35</v>
      </c>
      <c r="P671" t="str">
        <f t="shared" si="20"/>
        <v>Low Value</v>
      </c>
      <c r="Q671" t="str">
        <f t="shared" si="21"/>
        <v>Medium</v>
      </c>
      <c r="R671" t="str" cm="1">
        <f t="array" ref="R671">_xlfn.IFS(L671&gt;50000,"Premium",L671&gt;20000,"High",L671&gt;5000,"Medium",TRUE,"Low")</f>
        <v>Medium</v>
      </c>
    </row>
    <row r="672" spans="1:18" x14ac:dyDescent="0.3">
      <c r="A672" t="s">
        <v>1440</v>
      </c>
      <c r="B672" s="1">
        <v>44991</v>
      </c>
      <c r="C672" t="s">
        <v>777</v>
      </c>
      <c r="D672" t="s">
        <v>831</v>
      </c>
      <c r="E672" t="s">
        <v>59</v>
      </c>
      <c r="F672" t="s">
        <v>69</v>
      </c>
      <c r="G672" t="s">
        <v>202</v>
      </c>
      <c r="H672">
        <v>1</v>
      </c>
      <c r="I672">
        <v>1299</v>
      </c>
      <c r="J672">
        <v>15</v>
      </c>
      <c r="K672">
        <v>194.85</v>
      </c>
      <c r="L672">
        <v>1104.1500000000001</v>
      </c>
      <c r="M672">
        <v>284.04000000000002</v>
      </c>
      <c r="N672" t="s">
        <v>41</v>
      </c>
      <c r="O672" t="s">
        <v>22</v>
      </c>
      <c r="P672" t="str">
        <f t="shared" si="20"/>
        <v>Low Value</v>
      </c>
      <c r="Q672" t="str">
        <f t="shared" si="21"/>
        <v>Low</v>
      </c>
      <c r="R672" t="str" cm="1">
        <f t="array" ref="R672">_xlfn.IFS(L672&gt;50000,"Premium",L672&gt;20000,"High",L672&gt;5000,"Medium",TRUE,"Low")</f>
        <v>Low</v>
      </c>
    </row>
    <row r="673" spans="1:18" x14ac:dyDescent="0.3">
      <c r="A673" t="s">
        <v>1441</v>
      </c>
      <c r="B673" s="1">
        <v>44948</v>
      </c>
      <c r="C673" t="s">
        <v>1442</v>
      </c>
      <c r="D673" t="s">
        <v>1304</v>
      </c>
      <c r="E673" t="s">
        <v>78</v>
      </c>
      <c r="F673" t="s">
        <v>69</v>
      </c>
      <c r="G673" t="s">
        <v>505</v>
      </c>
      <c r="H673">
        <v>1</v>
      </c>
      <c r="I673">
        <v>499</v>
      </c>
      <c r="J673">
        <v>25</v>
      </c>
      <c r="K673">
        <v>124.75</v>
      </c>
      <c r="L673">
        <v>374.25</v>
      </c>
      <c r="M673">
        <v>76.36</v>
      </c>
      <c r="N673" t="s">
        <v>99</v>
      </c>
      <c r="O673" t="s">
        <v>35</v>
      </c>
      <c r="P673" t="str">
        <f t="shared" si="20"/>
        <v>Low Value</v>
      </c>
      <c r="Q673" t="str">
        <f t="shared" si="21"/>
        <v>Low</v>
      </c>
      <c r="R673" t="str" cm="1">
        <f t="array" ref="R673">_xlfn.IFS(L673&gt;50000,"Premium",L673&gt;20000,"High",L673&gt;5000,"Medium",TRUE,"Low")</f>
        <v>Low</v>
      </c>
    </row>
    <row r="674" spans="1:18" x14ac:dyDescent="0.3">
      <c r="A674" t="s">
        <v>1443</v>
      </c>
      <c r="B674" s="1">
        <v>45081</v>
      </c>
      <c r="C674" t="s">
        <v>1222</v>
      </c>
      <c r="D674" t="s">
        <v>388</v>
      </c>
      <c r="E674" t="s">
        <v>83</v>
      </c>
      <c r="F674" t="s">
        <v>60</v>
      </c>
      <c r="G674" t="s">
        <v>291</v>
      </c>
      <c r="H674">
        <v>1</v>
      </c>
      <c r="I674">
        <v>450</v>
      </c>
      <c r="J674">
        <v>0</v>
      </c>
      <c r="K674">
        <v>0</v>
      </c>
      <c r="L674">
        <v>450</v>
      </c>
      <c r="M674">
        <v>146.71</v>
      </c>
      <c r="N674" t="s">
        <v>34</v>
      </c>
      <c r="O674" t="s">
        <v>35</v>
      </c>
      <c r="P674" t="str">
        <f t="shared" si="20"/>
        <v>Low Value</v>
      </c>
      <c r="Q674" t="str">
        <f t="shared" si="21"/>
        <v>Low</v>
      </c>
      <c r="R674" t="str" cm="1">
        <f t="array" ref="R674">_xlfn.IFS(L674&gt;50000,"Premium",L674&gt;20000,"High",L674&gt;5000,"Medium",TRUE,"Low")</f>
        <v>Low</v>
      </c>
    </row>
    <row r="675" spans="1:18" x14ac:dyDescent="0.3">
      <c r="A675" t="s">
        <v>1444</v>
      </c>
      <c r="B675" s="1">
        <v>44973</v>
      </c>
      <c r="C675" t="s">
        <v>1445</v>
      </c>
      <c r="D675" t="s">
        <v>582</v>
      </c>
      <c r="E675" t="s">
        <v>31</v>
      </c>
      <c r="F675" t="s">
        <v>69</v>
      </c>
      <c r="G675" t="s">
        <v>111</v>
      </c>
      <c r="H675">
        <v>3</v>
      </c>
      <c r="I675">
        <v>3499</v>
      </c>
      <c r="J675">
        <v>20</v>
      </c>
      <c r="K675">
        <v>2099.4</v>
      </c>
      <c r="L675">
        <v>8397.6</v>
      </c>
      <c r="M675">
        <v>1296.18</v>
      </c>
      <c r="N675" t="s">
        <v>21</v>
      </c>
      <c r="O675" t="s">
        <v>95</v>
      </c>
      <c r="P675" t="str">
        <f t="shared" si="20"/>
        <v>Low Value</v>
      </c>
      <c r="Q675" t="str">
        <f t="shared" si="21"/>
        <v>Medium</v>
      </c>
      <c r="R675" t="str" cm="1">
        <f t="array" ref="R675">_xlfn.IFS(L675&gt;50000,"Premium",L675&gt;20000,"High",L675&gt;5000,"Medium",TRUE,"Low")</f>
        <v>Medium</v>
      </c>
    </row>
    <row r="676" spans="1:18" x14ac:dyDescent="0.3">
      <c r="A676" t="s">
        <v>1446</v>
      </c>
      <c r="B676" s="1">
        <v>44961</v>
      </c>
      <c r="C676" t="s">
        <v>1447</v>
      </c>
      <c r="D676" t="s">
        <v>510</v>
      </c>
      <c r="E676" t="s">
        <v>83</v>
      </c>
      <c r="F676" t="s">
        <v>19</v>
      </c>
      <c r="G676" t="s">
        <v>107</v>
      </c>
      <c r="H676">
        <v>5</v>
      </c>
      <c r="I676">
        <v>4500</v>
      </c>
      <c r="J676">
        <v>0</v>
      </c>
      <c r="K676">
        <v>0</v>
      </c>
      <c r="L676">
        <v>22500</v>
      </c>
      <c r="M676">
        <v>4694.66</v>
      </c>
      <c r="N676" t="s">
        <v>21</v>
      </c>
      <c r="O676" t="s">
        <v>35</v>
      </c>
      <c r="P676" t="str">
        <f t="shared" si="20"/>
        <v>High Value</v>
      </c>
      <c r="Q676" t="str">
        <f t="shared" si="21"/>
        <v>High</v>
      </c>
      <c r="R676" t="str" cm="1">
        <f t="array" ref="R676">_xlfn.IFS(L676&gt;50000,"Premium",L676&gt;20000,"High",L676&gt;5000,"Medium",TRUE,"Low")</f>
        <v>High</v>
      </c>
    </row>
    <row r="677" spans="1:18" x14ac:dyDescent="0.3">
      <c r="A677" t="s">
        <v>1448</v>
      </c>
      <c r="B677" s="1">
        <v>44977</v>
      </c>
      <c r="C677" t="s">
        <v>650</v>
      </c>
      <c r="D677" t="s">
        <v>555</v>
      </c>
      <c r="E677" t="s">
        <v>83</v>
      </c>
      <c r="F677" t="s">
        <v>69</v>
      </c>
      <c r="G677" t="s">
        <v>243</v>
      </c>
      <c r="H677">
        <v>4</v>
      </c>
      <c r="I677">
        <v>1999</v>
      </c>
      <c r="J677">
        <v>10</v>
      </c>
      <c r="K677">
        <v>799.6</v>
      </c>
      <c r="L677">
        <v>7196.4</v>
      </c>
      <c r="M677">
        <v>1867.03</v>
      </c>
      <c r="N677" t="s">
        <v>34</v>
      </c>
      <c r="O677" t="s">
        <v>22</v>
      </c>
      <c r="P677" t="str">
        <f t="shared" si="20"/>
        <v>Low Value</v>
      </c>
      <c r="Q677" t="str">
        <f t="shared" si="21"/>
        <v>Medium</v>
      </c>
      <c r="R677" t="str" cm="1">
        <f t="array" ref="R677">_xlfn.IFS(L677&gt;50000,"Premium",L677&gt;20000,"High",L677&gt;5000,"Medium",TRUE,"Low")</f>
        <v>Medium</v>
      </c>
    </row>
    <row r="678" spans="1:18" x14ac:dyDescent="0.3">
      <c r="A678" t="s">
        <v>1449</v>
      </c>
      <c r="B678" s="1">
        <v>45144</v>
      </c>
      <c r="C678" t="s">
        <v>712</v>
      </c>
      <c r="D678" t="s">
        <v>321</v>
      </c>
      <c r="E678" t="s">
        <v>18</v>
      </c>
      <c r="F678" t="s">
        <v>69</v>
      </c>
      <c r="G678" t="s">
        <v>243</v>
      </c>
      <c r="H678">
        <v>2</v>
      </c>
      <c r="I678">
        <v>1999</v>
      </c>
      <c r="J678">
        <v>15</v>
      </c>
      <c r="K678">
        <v>599.70000000000005</v>
      </c>
      <c r="L678">
        <v>3398.3</v>
      </c>
      <c r="M678">
        <v>284.95999999999998</v>
      </c>
      <c r="N678" t="s">
        <v>21</v>
      </c>
      <c r="O678" t="s">
        <v>35</v>
      </c>
      <c r="P678" t="str">
        <f t="shared" si="20"/>
        <v>Low Value</v>
      </c>
      <c r="Q678" t="str">
        <f t="shared" si="21"/>
        <v>Low</v>
      </c>
      <c r="R678" t="str" cm="1">
        <f t="array" ref="R678">_xlfn.IFS(L678&gt;50000,"Premium",L678&gt;20000,"High",L678&gt;5000,"Medium",TRUE,"Low")</f>
        <v>Low</v>
      </c>
    </row>
    <row r="679" spans="1:18" x14ac:dyDescent="0.3">
      <c r="A679" t="s">
        <v>1450</v>
      </c>
      <c r="B679" s="1">
        <v>45180</v>
      </c>
      <c r="C679" t="s">
        <v>227</v>
      </c>
      <c r="D679" t="s">
        <v>569</v>
      </c>
      <c r="E679" t="s">
        <v>18</v>
      </c>
      <c r="F679" t="s">
        <v>49</v>
      </c>
      <c r="G679" t="s">
        <v>161</v>
      </c>
      <c r="H679">
        <v>3</v>
      </c>
      <c r="I679">
        <v>599</v>
      </c>
      <c r="J679">
        <v>20</v>
      </c>
      <c r="K679">
        <v>359.4</v>
      </c>
      <c r="L679">
        <v>1437.6</v>
      </c>
      <c r="M679">
        <v>383.32</v>
      </c>
      <c r="N679" t="s">
        <v>41</v>
      </c>
      <c r="O679" t="s">
        <v>35</v>
      </c>
      <c r="P679" t="str">
        <f t="shared" si="20"/>
        <v>Low Value</v>
      </c>
      <c r="Q679" t="str">
        <f t="shared" si="21"/>
        <v>Low</v>
      </c>
      <c r="R679" t="str" cm="1">
        <f t="array" ref="R679">_xlfn.IFS(L679&gt;50000,"Premium",L679&gt;20000,"High",L679&gt;5000,"Medium",TRUE,"Low")</f>
        <v>Low</v>
      </c>
    </row>
    <row r="680" spans="1:18" x14ac:dyDescent="0.3">
      <c r="A680" t="s">
        <v>1451</v>
      </c>
      <c r="B680" s="1">
        <v>45160</v>
      </c>
      <c r="C680" t="s">
        <v>531</v>
      </c>
      <c r="D680" t="s">
        <v>1452</v>
      </c>
      <c r="E680" t="s">
        <v>26</v>
      </c>
      <c r="F680" t="s">
        <v>74</v>
      </c>
      <c r="G680" t="s">
        <v>192</v>
      </c>
      <c r="H680">
        <v>3</v>
      </c>
      <c r="I680">
        <v>12000</v>
      </c>
      <c r="J680">
        <v>25</v>
      </c>
      <c r="K680">
        <v>9000</v>
      </c>
      <c r="L680">
        <v>27000</v>
      </c>
      <c r="M680">
        <v>9257.0499999999993</v>
      </c>
      <c r="N680" t="s">
        <v>34</v>
      </c>
      <c r="O680" t="s">
        <v>22</v>
      </c>
      <c r="P680" t="str">
        <f t="shared" si="20"/>
        <v>High Value</v>
      </c>
      <c r="Q680" t="str">
        <f t="shared" si="21"/>
        <v>High</v>
      </c>
      <c r="R680" t="str" cm="1">
        <f t="array" ref="R680">_xlfn.IFS(L680&gt;50000,"Premium",L680&gt;20000,"High",L680&gt;5000,"Medium",TRUE,"Low")</f>
        <v>High</v>
      </c>
    </row>
    <row r="681" spans="1:18" x14ac:dyDescent="0.3">
      <c r="A681" t="s">
        <v>1453</v>
      </c>
      <c r="B681" s="1">
        <v>45023</v>
      </c>
      <c r="C681" t="s">
        <v>798</v>
      </c>
      <c r="D681" t="s">
        <v>1304</v>
      </c>
      <c r="E681" t="s">
        <v>26</v>
      </c>
      <c r="F681" t="s">
        <v>49</v>
      </c>
      <c r="G681" t="s">
        <v>50</v>
      </c>
      <c r="H681">
        <v>4</v>
      </c>
      <c r="I681">
        <v>499</v>
      </c>
      <c r="J681">
        <v>25</v>
      </c>
      <c r="K681">
        <v>499</v>
      </c>
      <c r="L681">
        <v>1497</v>
      </c>
      <c r="M681">
        <v>239.87</v>
      </c>
      <c r="N681" t="s">
        <v>41</v>
      </c>
      <c r="O681" t="s">
        <v>95</v>
      </c>
      <c r="P681" t="str">
        <f t="shared" si="20"/>
        <v>Low Value</v>
      </c>
      <c r="Q681" t="str">
        <f t="shared" si="21"/>
        <v>Low</v>
      </c>
      <c r="R681" t="str" cm="1">
        <f t="array" ref="R681">_xlfn.IFS(L681&gt;50000,"Premium",L681&gt;20000,"High",L681&gt;5000,"Medium",TRUE,"Low")</f>
        <v>Low</v>
      </c>
    </row>
    <row r="682" spans="1:18" x14ac:dyDescent="0.3">
      <c r="A682" t="s">
        <v>1454</v>
      </c>
      <c r="B682" s="1">
        <v>45264</v>
      </c>
      <c r="C682" t="s">
        <v>307</v>
      </c>
      <c r="D682" t="s">
        <v>737</v>
      </c>
      <c r="E682" t="s">
        <v>83</v>
      </c>
      <c r="F682" t="s">
        <v>60</v>
      </c>
      <c r="G682" t="s">
        <v>291</v>
      </c>
      <c r="H682">
        <v>1</v>
      </c>
      <c r="I682">
        <v>450</v>
      </c>
      <c r="J682">
        <v>5</v>
      </c>
      <c r="K682">
        <v>22.5</v>
      </c>
      <c r="L682">
        <v>427.5</v>
      </c>
      <c r="M682">
        <v>72.010000000000005</v>
      </c>
      <c r="N682" t="s">
        <v>99</v>
      </c>
      <c r="O682" t="s">
        <v>35</v>
      </c>
      <c r="P682" t="str">
        <f t="shared" si="20"/>
        <v>Low Value</v>
      </c>
      <c r="Q682" t="str">
        <f t="shared" si="21"/>
        <v>Low</v>
      </c>
      <c r="R682" t="str" cm="1">
        <f t="array" ref="R682">_xlfn.IFS(L682&gt;50000,"Premium",L682&gt;20000,"High",L682&gt;5000,"Medium",TRUE,"Low")</f>
        <v>Low</v>
      </c>
    </row>
    <row r="683" spans="1:18" x14ac:dyDescent="0.3">
      <c r="A683" t="s">
        <v>1455</v>
      </c>
      <c r="B683" s="1">
        <v>45028</v>
      </c>
      <c r="C683" t="s">
        <v>1456</v>
      </c>
      <c r="D683" t="s">
        <v>305</v>
      </c>
      <c r="E683" t="s">
        <v>78</v>
      </c>
      <c r="F683" t="s">
        <v>32</v>
      </c>
      <c r="G683" t="s">
        <v>148</v>
      </c>
      <c r="H683">
        <v>5</v>
      </c>
      <c r="I683">
        <v>120</v>
      </c>
      <c r="J683">
        <v>15</v>
      </c>
      <c r="K683">
        <v>90</v>
      </c>
      <c r="L683">
        <v>510</v>
      </c>
      <c r="M683">
        <v>44.28</v>
      </c>
      <c r="N683" t="s">
        <v>21</v>
      </c>
      <c r="O683" t="s">
        <v>95</v>
      </c>
      <c r="P683" t="str">
        <f t="shared" si="20"/>
        <v>Low Value</v>
      </c>
      <c r="Q683" t="str">
        <f t="shared" si="21"/>
        <v>Low</v>
      </c>
      <c r="R683" t="str" cm="1">
        <f t="array" ref="R683">_xlfn.IFS(L683&gt;50000,"Premium",L683&gt;20000,"High",L683&gt;5000,"Medium",TRUE,"Low")</f>
        <v>Low</v>
      </c>
    </row>
    <row r="684" spans="1:18" x14ac:dyDescent="0.3">
      <c r="A684" t="s">
        <v>1457</v>
      </c>
      <c r="B684" s="1">
        <v>45066</v>
      </c>
      <c r="C684" t="s">
        <v>1064</v>
      </c>
      <c r="D684" t="s">
        <v>358</v>
      </c>
      <c r="E684" t="s">
        <v>78</v>
      </c>
      <c r="F684" t="s">
        <v>49</v>
      </c>
      <c r="G684" t="s">
        <v>753</v>
      </c>
      <c r="H684">
        <v>4</v>
      </c>
      <c r="I684">
        <v>299</v>
      </c>
      <c r="J684">
        <v>10</v>
      </c>
      <c r="K684">
        <v>119.6</v>
      </c>
      <c r="L684">
        <v>1076.4000000000001</v>
      </c>
      <c r="M684">
        <v>207.47</v>
      </c>
      <c r="N684" t="s">
        <v>27</v>
      </c>
      <c r="O684" t="s">
        <v>22</v>
      </c>
      <c r="P684" t="str">
        <f t="shared" si="20"/>
        <v>Low Value</v>
      </c>
      <c r="Q684" t="str">
        <f t="shared" si="21"/>
        <v>Low</v>
      </c>
      <c r="R684" t="str" cm="1">
        <f t="array" ref="R684">_xlfn.IFS(L684&gt;50000,"Premium",L684&gt;20000,"High",L684&gt;5000,"Medium",TRUE,"Low")</f>
        <v>Low</v>
      </c>
    </row>
    <row r="685" spans="1:18" x14ac:dyDescent="0.3">
      <c r="A685" t="s">
        <v>1458</v>
      </c>
      <c r="B685" s="1">
        <v>44982</v>
      </c>
      <c r="C685" t="s">
        <v>872</v>
      </c>
      <c r="D685" t="s">
        <v>393</v>
      </c>
      <c r="E685" t="s">
        <v>18</v>
      </c>
      <c r="F685" t="s">
        <v>19</v>
      </c>
      <c r="G685" t="s">
        <v>103</v>
      </c>
      <c r="H685">
        <v>4</v>
      </c>
      <c r="I685">
        <v>3500</v>
      </c>
      <c r="J685">
        <v>15</v>
      </c>
      <c r="K685">
        <v>2100</v>
      </c>
      <c r="L685">
        <v>11900</v>
      </c>
      <c r="M685">
        <v>1419.03</v>
      </c>
      <c r="N685" t="s">
        <v>99</v>
      </c>
      <c r="O685" t="s">
        <v>35</v>
      </c>
      <c r="P685" t="str">
        <f t="shared" si="20"/>
        <v>Low Value</v>
      </c>
      <c r="Q685" t="str">
        <f t="shared" si="21"/>
        <v>Medium</v>
      </c>
      <c r="R685" t="str" cm="1">
        <f t="array" ref="R685">_xlfn.IFS(L685&gt;50000,"Premium",L685&gt;20000,"High",L685&gt;5000,"Medium",TRUE,"Low")</f>
        <v>Medium</v>
      </c>
    </row>
    <row r="686" spans="1:18" x14ac:dyDescent="0.3">
      <c r="A686" t="s">
        <v>1459</v>
      </c>
      <c r="B686" s="1">
        <v>45182</v>
      </c>
      <c r="C686" t="s">
        <v>694</v>
      </c>
      <c r="D686" t="s">
        <v>1460</v>
      </c>
      <c r="E686" t="s">
        <v>18</v>
      </c>
      <c r="F686" t="s">
        <v>60</v>
      </c>
      <c r="G686" t="s">
        <v>291</v>
      </c>
      <c r="H686">
        <v>2</v>
      </c>
      <c r="I686">
        <v>450</v>
      </c>
      <c r="J686">
        <v>15</v>
      </c>
      <c r="K686">
        <v>135</v>
      </c>
      <c r="L686">
        <v>765</v>
      </c>
      <c r="M686">
        <v>177</v>
      </c>
      <c r="N686" t="s">
        <v>99</v>
      </c>
      <c r="O686" t="s">
        <v>95</v>
      </c>
      <c r="P686" t="str">
        <f t="shared" si="20"/>
        <v>Low Value</v>
      </c>
      <c r="Q686" t="str">
        <f t="shared" si="21"/>
        <v>Low</v>
      </c>
      <c r="R686" t="str" cm="1">
        <f t="array" ref="R686">_xlfn.IFS(L686&gt;50000,"Premium",L686&gt;20000,"High",L686&gt;5000,"Medium",TRUE,"Low")</f>
        <v>Low</v>
      </c>
    </row>
    <row r="687" spans="1:18" x14ac:dyDescent="0.3">
      <c r="A687" t="s">
        <v>1461</v>
      </c>
      <c r="B687" s="1">
        <v>45179</v>
      </c>
      <c r="C687" t="s">
        <v>399</v>
      </c>
      <c r="D687" t="s">
        <v>678</v>
      </c>
      <c r="E687" t="s">
        <v>48</v>
      </c>
      <c r="F687" t="s">
        <v>49</v>
      </c>
      <c r="G687" t="s">
        <v>603</v>
      </c>
      <c r="H687">
        <v>2</v>
      </c>
      <c r="I687">
        <v>449</v>
      </c>
      <c r="J687">
        <v>10</v>
      </c>
      <c r="K687">
        <v>89.8</v>
      </c>
      <c r="L687">
        <v>808.2</v>
      </c>
      <c r="M687">
        <v>200.94</v>
      </c>
      <c r="N687" t="s">
        <v>21</v>
      </c>
      <c r="O687" t="s">
        <v>95</v>
      </c>
      <c r="P687" t="str">
        <f t="shared" si="20"/>
        <v>Low Value</v>
      </c>
      <c r="Q687" t="str">
        <f t="shared" si="21"/>
        <v>Low</v>
      </c>
      <c r="R687" t="str" cm="1">
        <f t="array" ref="R687">_xlfn.IFS(L687&gt;50000,"Premium",L687&gt;20000,"High",L687&gt;5000,"Medium",TRUE,"Low")</f>
        <v>Low</v>
      </c>
    </row>
    <row r="688" spans="1:18" x14ac:dyDescent="0.3">
      <c r="A688" t="s">
        <v>1462</v>
      </c>
      <c r="B688" s="1">
        <v>44936</v>
      </c>
      <c r="C688" t="s">
        <v>1463</v>
      </c>
      <c r="D688" t="s">
        <v>971</v>
      </c>
      <c r="E688" t="s">
        <v>54</v>
      </c>
      <c r="F688" t="s">
        <v>49</v>
      </c>
      <c r="G688" t="s">
        <v>50</v>
      </c>
      <c r="H688">
        <v>4</v>
      </c>
      <c r="I688">
        <v>499</v>
      </c>
      <c r="J688">
        <v>0</v>
      </c>
      <c r="K688">
        <v>0</v>
      </c>
      <c r="L688">
        <v>1996</v>
      </c>
      <c r="M688">
        <v>329.52</v>
      </c>
      <c r="N688" t="s">
        <v>99</v>
      </c>
      <c r="O688" t="s">
        <v>35</v>
      </c>
      <c r="P688" t="str">
        <f t="shared" si="20"/>
        <v>Low Value</v>
      </c>
      <c r="Q688" t="str">
        <f t="shared" si="21"/>
        <v>Low</v>
      </c>
      <c r="R688" t="str" cm="1">
        <f t="array" ref="R688">_xlfn.IFS(L688&gt;50000,"Premium",L688&gt;20000,"High",L688&gt;5000,"Medium",TRUE,"Low")</f>
        <v>Low</v>
      </c>
    </row>
    <row r="689" spans="1:18" x14ac:dyDescent="0.3">
      <c r="A689" t="s">
        <v>1464</v>
      </c>
      <c r="B689" s="1">
        <v>45017</v>
      </c>
      <c r="C689" t="s">
        <v>1465</v>
      </c>
      <c r="D689" t="s">
        <v>1460</v>
      </c>
      <c r="E689" t="s">
        <v>26</v>
      </c>
      <c r="F689" t="s">
        <v>74</v>
      </c>
      <c r="G689" t="s">
        <v>192</v>
      </c>
      <c r="H689">
        <v>3</v>
      </c>
      <c r="I689">
        <v>12000</v>
      </c>
      <c r="J689">
        <v>25</v>
      </c>
      <c r="K689">
        <v>9000</v>
      </c>
      <c r="L689">
        <v>27000</v>
      </c>
      <c r="M689">
        <v>2679.57</v>
      </c>
      <c r="N689" t="s">
        <v>41</v>
      </c>
      <c r="O689" t="s">
        <v>35</v>
      </c>
      <c r="P689" t="str">
        <f t="shared" si="20"/>
        <v>High Value</v>
      </c>
      <c r="Q689" t="str">
        <f t="shared" si="21"/>
        <v>High</v>
      </c>
      <c r="R689" t="str" cm="1">
        <f t="array" ref="R689">_xlfn.IFS(L689&gt;50000,"Premium",L689&gt;20000,"High",L689&gt;5000,"Medium",TRUE,"Low")</f>
        <v>High</v>
      </c>
    </row>
    <row r="690" spans="1:18" x14ac:dyDescent="0.3">
      <c r="A690" t="s">
        <v>1466</v>
      </c>
      <c r="B690" s="1">
        <v>45218</v>
      </c>
      <c r="C690" t="s">
        <v>1467</v>
      </c>
      <c r="D690" t="s">
        <v>267</v>
      </c>
      <c r="E690" t="s">
        <v>83</v>
      </c>
      <c r="F690" t="s">
        <v>60</v>
      </c>
      <c r="G690" t="s">
        <v>365</v>
      </c>
      <c r="H690">
        <v>5</v>
      </c>
      <c r="I690">
        <v>650</v>
      </c>
      <c r="J690">
        <v>25</v>
      </c>
      <c r="K690">
        <v>812.5</v>
      </c>
      <c r="L690">
        <v>2437.5</v>
      </c>
      <c r="M690">
        <v>516.30999999999995</v>
      </c>
      <c r="N690" t="s">
        <v>21</v>
      </c>
      <c r="O690" t="s">
        <v>35</v>
      </c>
      <c r="P690" t="str">
        <f t="shared" si="20"/>
        <v>Low Value</v>
      </c>
      <c r="Q690" t="str">
        <f t="shared" si="21"/>
        <v>Low</v>
      </c>
      <c r="R690" t="str" cm="1">
        <f t="array" ref="R690">_xlfn.IFS(L690&gt;50000,"Premium",L690&gt;20000,"High",L690&gt;5000,"Medium",TRUE,"Low")</f>
        <v>Low</v>
      </c>
    </row>
    <row r="691" spans="1:18" x14ac:dyDescent="0.3">
      <c r="A691" t="s">
        <v>1468</v>
      </c>
      <c r="B691" s="1">
        <v>45127</v>
      </c>
      <c r="C691" t="s">
        <v>363</v>
      </c>
      <c r="D691" t="s">
        <v>775</v>
      </c>
      <c r="E691" t="s">
        <v>59</v>
      </c>
      <c r="F691" t="s">
        <v>32</v>
      </c>
      <c r="G691" t="s">
        <v>259</v>
      </c>
      <c r="H691">
        <v>5</v>
      </c>
      <c r="I691">
        <v>450</v>
      </c>
      <c r="J691">
        <v>15</v>
      </c>
      <c r="K691">
        <v>337.5</v>
      </c>
      <c r="L691">
        <v>1912.5</v>
      </c>
      <c r="M691">
        <v>449.59</v>
      </c>
      <c r="N691" t="s">
        <v>99</v>
      </c>
      <c r="O691" t="s">
        <v>95</v>
      </c>
      <c r="P691" t="str">
        <f t="shared" si="20"/>
        <v>Low Value</v>
      </c>
      <c r="Q691" t="str">
        <f t="shared" si="21"/>
        <v>Low</v>
      </c>
      <c r="R691" t="str" cm="1">
        <f t="array" ref="R691">_xlfn.IFS(L691&gt;50000,"Premium",L691&gt;20000,"High",L691&gt;5000,"Medium",TRUE,"Low")</f>
        <v>Low</v>
      </c>
    </row>
    <row r="692" spans="1:18" x14ac:dyDescent="0.3">
      <c r="A692" t="s">
        <v>1469</v>
      </c>
      <c r="B692" s="1">
        <v>44950</v>
      </c>
      <c r="C692" t="s">
        <v>135</v>
      </c>
      <c r="D692" t="s">
        <v>1470</v>
      </c>
      <c r="E692" t="s">
        <v>26</v>
      </c>
      <c r="F692" t="s">
        <v>69</v>
      </c>
      <c r="G692" t="s">
        <v>111</v>
      </c>
      <c r="H692">
        <v>3</v>
      </c>
      <c r="I692">
        <v>3499</v>
      </c>
      <c r="J692">
        <v>10</v>
      </c>
      <c r="K692">
        <v>1049.7</v>
      </c>
      <c r="L692">
        <v>9447.2999999999993</v>
      </c>
      <c r="M692">
        <v>2766.79</v>
      </c>
      <c r="N692" t="s">
        <v>99</v>
      </c>
      <c r="O692" t="s">
        <v>22</v>
      </c>
      <c r="P692" t="str">
        <f t="shared" si="20"/>
        <v>Low Value</v>
      </c>
      <c r="Q692" t="str">
        <f t="shared" si="21"/>
        <v>Medium</v>
      </c>
      <c r="R692" t="str" cm="1">
        <f t="array" ref="R692">_xlfn.IFS(L692&gt;50000,"Premium",L692&gt;20000,"High",L692&gt;5000,"Medium",TRUE,"Low")</f>
        <v>Medium</v>
      </c>
    </row>
    <row r="693" spans="1:18" x14ac:dyDescent="0.3">
      <c r="A693" t="s">
        <v>1471</v>
      </c>
      <c r="B693" s="1">
        <v>45103</v>
      </c>
      <c r="C693" t="s">
        <v>1472</v>
      </c>
      <c r="D693" t="s">
        <v>195</v>
      </c>
      <c r="E693" t="s">
        <v>18</v>
      </c>
      <c r="F693" t="s">
        <v>32</v>
      </c>
      <c r="G693" t="s">
        <v>259</v>
      </c>
      <c r="H693">
        <v>3</v>
      </c>
      <c r="I693">
        <v>450</v>
      </c>
      <c r="J693">
        <v>0</v>
      </c>
      <c r="K693">
        <v>0</v>
      </c>
      <c r="L693">
        <v>1350</v>
      </c>
      <c r="M693">
        <v>335.3</v>
      </c>
      <c r="N693" t="s">
        <v>99</v>
      </c>
      <c r="O693" t="s">
        <v>35</v>
      </c>
      <c r="P693" t="str">
        <f t="shared" si="20"/>
        <v>Low Value</v>
      </c>
      <c r="Q693" t="str">
        <f t="shared" si="21"/>
        <v>Low</v>
      </c>
      <c r="R693" t="str" cm="1">
        <f t="array" ref="R693">_xlfn.IFS(L693&gt;50000,"Premium",L693&gt;20000,"High",L693&gt;5000,"Medium",TRUE,"Low")</f>
        <v>Low</v>
      </c>
    </row>
    <row r="694" spans="1:18" x14ac:dyDescent="0.3">
      <c r="A694" t="s">
        <v>1473</v>
      </c>
      <c r="B694" s="1">
        <v>44985</v>
      </c>
      <c r="C694" t="s">
        <v>1474</v>
      </c>
      <c r="D694" t="s">
        <v>68</v>
      </c>
      <c r="E694" t="s">
        <v>26</v>
      </c>
      <c r="F694" t="s">
        <v>32</v>
      </c>
      <c r="G694" t="s">
        <v>148</v>
      </c>
      <c r="H694">
        <v>1</v>
      </c>
      <c r="I694">
        <v>120</v>
      </c>
      <c r="J694">
        <v>20</v>
      </c>
      <c r="K694">
        <v>24</v>
      </c>
      <c r="L694">
        <v>96</v>
      </c>
      <c r="M694">
        <v>14.19</v>
      </c>
      <c r="N694" t="s">
        <v>34</v>
      </c>
      <c r="O694" t="s">
        <v>35</v>
      </c>
      <c r="P694" t="str">
        <f t="shared" si="20"/>
        <v>Low Value</v>
      </c>
      <c r="Q694" t="str">
        <f t="shared" si="21"/>
        <v>Low</v>
      </c>
      <c r="R694" t="str" cm="1">
        <f t="array" ref="R694">_xlfn.IFS(L694&gt;50000,"Premium",L694&gt;20000,"High",L694&gt;5000,"Medium",TRUE,"Low")</f>
        <v>Low</v>
      </c>
    </row>
    <row r="695" spans="1:18" x14ac:dyDescent="0.3">
      <c r="A695" t="s">
        <v>1475</v>
      </c>
      <c r="B695" s="1">
        <v>45283</v>
      </c>
      <c r="C695" t="s">
        <v>217</v>
      </c>
      <c r="D695" t="s">
        <v>1408</v>
      </c>
      <c r="E695" t="s">
        <v>18</v>
      </c>
      <c r="F695" t="s">
        <v>39</v>
      </c>
      <c r="G695" t="s">
        <v>79</v>
      </c>
      <c r="H695">
        <v>1</v>
      </c>
      <c r="I695">
        <v>25000</v>
      </c>
      <c r="J695">
        <v>10</v>
      </c>
      <c r="K695">
        <v>2500</v>
      </c>
      <c r="L695">
        <v>22500</v>
      </c>
      <c r="M695">
        <v>3674.73</v>
      </c>
      <c r="N695" t="s">
        <v>41</v>
      </c>
      <c r="O695" t="s">
        <v>35</v>
      </c>
      <c r="P695" t="str">
        <f t="shared" si="20"/>
        <v>High Value</v>
      </c>
      <c r="Q695" t="str">
        <f t="shared" si="21"/>
        <v>High</v>
      </c>
      <c r="R695" t="str" cm="1">
        <f t="array" ref="R695">_xlfn.IFS(L695&gt;50000,"Premium",L695&gt;20000,"High",L695&gt;5000,"Medium",TRUE,"Low")</f>
        <v>High</v>
      </c>
    </row>
    <row r="696" spans="1:18" x14ac:dyDescent="0.3">
      <c r="A696" t="s">
        <v>1476</v>
      </c>
      <c r="B696" s="1">
        <v>45280</v>
      </c>
      <c r="C696" t="s">
        <v>1477</v>
      </c>
      <c r="D696" t="s">
        <v>422</v>
      </c>
      <c r="E696" t="s">
        <v>78</v>
      </c>
      <c r="F696" t="s">
        <v>60</v>
      </c>
      <c r="G696" t="s">
        <v>165</v>
      </c>
      <c r="H696">
        <v>3</v>
      </c>
      <c r="I696">
        <v>300</v>
      </c>
      <c r="J696">
        <v>15</v>
      </c>
      <c r="K696">
        <v>135</v>
      </c>
      <c r="L696">
        <v>765</v>
      </c>
      <c r="M696">
        <v>153.63999999999999</v>
      </c>
      <c r="N696" t="s">
        <v>34</v>
      </c>
      <c r="O696" t="s">
        <v>22</v>
      </c>
      <c r="P696" t="str">
        <f t="shared" si="20"/>
        <v>Low Value</v>
      </c>
      <c r="Q696" t="str">
        <f t="shared" si="21"/>
        <v>Low</v>
      </c>
      <c r="R696" t="str" cm="1">
        <f t="array" ref="R696">_xlfn.IFS(L696&gt;50000,"Premium",L696&gt;20000,"High",L696&gt;5000,"Medium",TRUE,"Low")</f>
        <v>Low</v>
      </c>
    </row>
    <row r="697" spans="1:18" x14ac:dyDescent="0.3">
      <c r="A697" t="s">
        <v>1478</v>
      </c>
      <c r="B697" s="1">
        <v>45030</v>
      </c>
      <c r="C697" t="s">
        <v>176</v>
      </c>
      <c r="D697" t="s">
        <v>160</v>
      </c>
      <c r="E697" t="s">
        <v>26</v>
      </c>
      <c r="F697" t="s">
        <v>39</v>
      </c>
      <c r="G697" t="s">
        <v>213</v>
      </c>
      <c r="H697">
        <v>1</v>
      </c>
      <c r="I697">
        <v>15000</v>
      </c>
      <c r="J697">
        <v>20</v>
      </c>
      <c r="K697">
        <v>3000</v>
      </c>
      <c r="L697">
        <v>12000</v>
      </c>
      <c r="M697">
        <v>1370.69</v>
      </c>
      <c r="N697" t="s">
        <v>27</v>
      </c>
      <c r="O697" t="s">
        <v>95</v>
      </c>
      <c r="P697" t="str">
        <f t="shared" si="20"/>
        <v>Low Value</v>
      </c>
      <c r="Q697" t="str">
        <f t="shared" si="21"/>
        <v>Medium</v>
      </c>
      <c r="R697" t="str" cm="1">
        <f t="array" ref="R697">_xlfn.IFS(L697&gt;50000,"Premium",L697&gt;20000,"High",L697&gt;5000,"Medium",TRUE,"Low")</f>
        <v>Medium</v>
      </c>
    </row>
    <row r="698" spans="1:18" x14ac:dyDescent="0.3">
      <c r="A698" t="s">
        <v>1479</v>
      </c>
      <c r="B698" s="1">
        <v>44974</v>
      </c>
      <c r="C698" t="s">
        <v>1480</v>
      </c>
      <c r="D698" t="s">
        <v>246</v>
      </c>
      <c r="E698" t="s">
        <v>54</v>
      </c>
      <c r="F698" t="s">
        <v>60</v>
      </c>
      <c r="G698" t="s">
        <v>349</v>
      </c>
      <c r="H698">
        <v>5</v>
      </c>
      <c r="I698">
        <v>250</v>
      </c>
      <c r="J698">
        <v>0</v>
      </c>
      <c r="K698">
        <v>0</v>
      </c>
      <c r="L698">
        <v>1250</v>
      </c>
      <c r="M698">
        <v>284.45</v>
      </c>
      <c r="N698" t="s">
        <v>41</v>
      </c>
      <c r="O698" t="s">
        <v>35</v>
      </c>
      <c r="P698" t="str">
        <f t="shared" si="20"/>
        <v>Low Value</v>
      </c>
      <c r="Q698" t="str">
        <f t="shared" si="21"/>
        <v>Low</v>
      </c>
      <c r="R698" t="str" cm="1">
        <f t="array" ref="R698">_xlfn.IFS(L698&gt;50000,"Premium",L698&gt;20000,"High",L698&gt;5000,"Medium",TRUE,"Low")</f>
        <v>Low</v>
      </c>
    </row>
    <row r="699" spans="1:18" x14ac:dyDescent="0.3">
      <c r="A699" t="s">
        <v>1481</v>
      </c>
      <c r="B699" s="1">
        <v>45104</v>
      </c>
      <c r="C699" t="s">
        <v>1482</v>
      </c>
      <c r="D699" t="s">
        <v>893</v>
      </c>
      <c r="E699" t="s">
        <v>31</v>
      </c>
      <c r="F699" t="s">
        <v>49</v>
      </c>
      <c r="G699" t="s">
        <v>50</v>
      </c>
      <c r="H699">
        <v>3</v>
      </c>
      <c r="I699">
        <v>499</v>
      </c>
      <c r="J699">
        <v>20</v>
      </c>
      <c r="K699">
        <v>299.39999999999998</v>
      </c>
      <c r="L699">
        <v>1197.5999999999999</v>
      </c>
      <c r="M699">
        <v>348.79</v>
      </c>
      <c r="N699" t="s">
        <v>41</v>
      </c>
      <c r="O699" t="s">
        <v>22</v>
      </c>
      <c r="P699" t="str">
        <f t="shared" si="20"/>
        <v>Low Value</v>
      </c>
      <c r="Q699" t="str">
        <f t="shared" si="21"/>
        <v>Low</v>
      </c>
      <c r="R699" t="str" cm="1">
        <f t="array" ref="R699">_xlfn.IFS(L699&gt;50000,"Premium",L699&gt;20000,"High",L699&gt;5000,"Medium",TRUE,"Low")</f>
        <v>Low</v>
      </c>
    </row>
    <row r="700" spans="1:18" x14ac:dyDescent="0.3">
      <c r="A700" t="s">
        <v>1483</v>
      </c>
      <c r="B700" s="1">
        <v>45055</v>
      </c>
      <c r="C700" t="s">
        <v>418</v>
      </c>
      <c r="D700" t="s">
        <v>1484</v>
      </c>
      <c r="E700" t="s">
        <v>83</v>
      </c>
      <c r="F700" t="s">
        <v>74</v>
      </c>
      <c r="G700" t="s">
        <v>144</v>
      </c>
      <c r="H700">
        <v>4</v>
      </c>
      <c r="I700">
        <v>1500</v>
      </c>
      <c r="J700">
        <v>25</v>
      </c>
      <c r="K700">
        <v>1500</v>
      </c>
      <c r="L700">
        <v>4500</v>
      </c>
      <c r="M700">
        <v>1255.6500000000001</v>
      </c>
      <c r="N700" t="s">
        <v>21</v>
      </c>
      <c r="O700" t="s">
        <v>22</v>
      </c>
      <c r="P700" t="str">
        <f t="shared" si="20"/>
        <v>Low Value</v>
      </c>
      <c r="Q700" t="str">
        <f t="shared" si="21"/>
        <v>Low</v>
      </c>
      <c r="R700" t="str" cm="1">
        <f t="array" ref="R700">_xlfn.IFS(L700&gt;50000,"Premium",L700&gt;20000,"High",L700&gt;5000,"Medium",TRUE,"Low")</f>
        <v>Low</v>
      </c>
    </row>
    <row r="701" spans="1:18" x14ac:dyDescent="0.3">
      <c r="A701" t="s">
        <v>1485</v>
      </c>
      <c r="B701" s="1">
        <v>45036</v>
      </c>
      <c r="C701" t="s">
        <v>763</v>
      </c>
      <c r="D701" t="s">
        <v>1486</v>
      </c>
      <c r="E701" t="s">
        <v>59</v>
      </c>
      <c r="F701" t="s">
        <v>60</v>
      </c>
      <c r="G701" t="s">
        <v>349</v>
      </c>
      <c r="H701">
        <v>4</v>
      </c>
      <c r="I701">
        <v>250</v>
      </c>
      <c r="J701">
        <v>10</v>
      </c>
      <c r="K701">
        <v>100</v>
      </c>
      <c r="L701">
        <v>900</v>
      </c>
      <c r="M701">
        <v>298.02999999999997</v>
      </c>
      <c r="N701" t="s">
        <v>21</v>
      </c>
      <c r="O701" t="s">
        <v>35</v>
      </c>
      <c r="P701" t="str">
        <f t="shared" si="20"/>
        <v>Low Value</v>
      </c>
      <c r="Q701" t="str">
        <f t="shared" si="21"/>
        <v>Low</v>
      </c>
      <c r="R701" t="str" cm="1">
        <f t="array" ref="R701">_xlfn.IFS(L701&gt;50000,"Premium",L701&gt;20000,"High",L701&gt;5000,"Medium",TRUE,"Low")</f>
        <v>Low</v>
      </c>
    </row>
    <row r="702" spans="1:18" x14ac:dyDescent="0.3">
      <c r="A702" t="s">
        <v>1487</v>
      </c>
      <c r="B702" s="1">
        <v>45113</v>
      </c>
      <c r="C702" t="s">
        <v>1477</v>
      </c>
      <c r="D702" t="s">
        <v>496</v>
      </c>
      <c r="E702" t="s">
        <v>26</v>
      </c>
      <c r="F702" t="s">
        <v>39</v>
      </c>
      <c r="G702" t="s">
        <v>84</v>
      </c>
      <c r="H702">
        <v>2</v>
      </c>
      <c r="I702">
        <v>6500</v>
      </c>
      <c r="J702">
        <v>5</v>
      </c>
      <c r="K702">
        <v>650</v>
      </c>
      <c r="L702">
        <v>12350</v>
      </c>
      <c r="M702">
        <v>3383.04</v>
      </c>
      <c r="N702" t="s">
        <v>34</v>
      </c>
      <c r="O702" t="s">
        <v>35</v>
      </c>
      <c r="P702" t="str">
        <f t="shared" si="20"/>
        <v>Low Value</v>
      </c>
      <c r="Q702" t="str">
        <f t="shared" si="21"/>
        <v>Medium</v>
      </c>
      <c r="R702" t="str" cm="1">
        <f t="array" ref="R702">_xlfn.IFS(L702&gt;50000,"Premium",L702&gt;20000,"High",L702&gt;5000,"Medium",TRUE,"Low")</f>
        <v>Medium</v>
      </c>
    </row>
    <row r="703" spans="1:18" x14ac:dyDescent="0.3">
      <c r="A703" t="s">
        <v>1488</v>
      </c>
      <c r="B703" s="1">
        <v>45251</v>
      </c>
      <c r="C703" t="s">
        <v>460</v>
      </c>
      <c r="D703" t="s">
        <v>93</v>
      </c>
      <c r="E703" t="s">
        <v>31</v>
      </c>
      <c r="F703" t="s">
        <v>69</v>
      </c>
      <c r="G703" t="s">
        <v>111</v>
      </c>
      <c r="H703">
        <v>4</v>
      </c>
      <c r="I703">
        <v>3499</v>
      </c>
      <c r="J703">
        <v>10</v>
      </c>
      <c r="K703">
        <v>1399.6</v>
      </c>
      <c r="L703">
        <v>12596.4</v>
      </c>
      <c r="M703">
        <v>3742.56</v>
      </c>
      <c r="N703" t="s">
        <v>41</v>
      </c>
      <c r="O703" t="s">
        <v>35</v>
      </c>
      <c r="P703" t="str">
        <f t="shared" si="20"/>
        <v>Low Value</v>
      </c>
      <c r="Q703" t="str">
        <f t="shared" si="21"/>
        <v>Medium</v>
      </c>
      <c r="R703" t="str" cm="1">
        <f t="array" ref="R703">_xlfn.IFS(L703&gt;50000,"Premium",L703&gt;20000,"High",L703&gt;5000,"Medium",TRUE,"Low")</f>
        <v>Medium</v>
      </c>
    </row>
    <row r="704" spans="1:18" x14ac:dyDescent="0.3">
      <c r="A704" t="s">
        <v>1489</v>
      </c>
      <c r="B704" s="1">
        <v>44985</v>
      </c>
      <c r="C704" t="s">
        <v>441</v>
      </c>
      <c r="D704" t="s">
        <v>750</v>
      </c>
      <c r="E704" t="s">
        <v>26</v>
      </c>
      <c r="F704" t="s">
        <v>69</v>
      </c>
      <c r="G704" t="s">
        <v>202</v>
      </c>
      <c r="H704">
        <v>1</v>
      </c>
      <c r="I704">
        <v>1299</v>
      </c>
      <c r="J704">
        <v>5</v>
      </c>
      <c r="K704">
        <v>64.95</v>
      </c>
      <c r="L704">
        <v>1234.05</v>
      </c>
      <c r="M704">
        <v>356.78</v>
      </c>
      <c r="N704" t="s">
        <v>41</v>
      </c>
      <c r="O704" t="s">
        <v>35</v>
      </c>
      <c r="P704" t="str">
        <f t="shared" si="20"/>
        <v>Low Value</v>
      </c>
      <c r="Q704" t="str">
        <f t="shared" si="21"/>
        <v>Low</v>
      </c>
      <c r="R704" t="str" cm="1">
        <f t="array" ref="R704">_xlfn.IFS(L704&gt;50000,"Premium",L704&gt;20000,"High",L704&gt;5000,"Medium",TRUE,"Low")</f>
        <v>Low</v>
      </c>
    </row>
    <row r="705" spans="1:18" x14ac:dyDescent="0.3">
      <c r="A705" t="s">
        <v>1490</v>
      </c>
      <c r="B705" s="1">
        <v>45030</v>
      </c>
      <c r="C705" t="s">
        <v>1209</v>
      </c>
      <c r="D705" t="s">
        <v>1044</v>
      </c>
      <c r="E705" t="s">
        <v>83</v>
      </c>
      <c r="F705" t="s">
        <v>69</v>
      </c>
      <c r="G705" t="s">
        <v>275</v>
      </c>
      <c r="H705">
        <v>2</v>
      </c>
      <c r="I705">
        <v>799</v>
      </c>
      <c r="J705">
        <v>0</v>
      </c>
      <c r="K705">
        <v>0</v>
      </c>
      <c r="L705">
        <v>1598</v>
      </c>
      <c r="M705">
        <v>203.78</v>
      </c>
      <c r="N705" t="s">
        <v>99</v>
      </c>
      <c r="O705" t="s">
        <v>22</v>
      </c>
      <c r="P705" t="str">
        <f t="shared" si="20"/>
        <v>Low Value</v>
      </c>
      <c r="Q705" t="str">
        <f t="shared" si="21"/>
        <v>Low</v>
      </c>
      <c r="R705" t="str" cm="1">
        <f t="array" ref="R705">_xlfn.IFS(L705&gt;50000,"Premium",L705&gt;20000,"High",L705&gt;5000,"Medium",TRUE,"Low")</f>
        <v>Low</v>
      </c>
    </row>
    <row r="706" spans="1:18" x14ac:dyDescent="0.3">
      <c r="A706" t="s">
        <v>1491</v>
      </c>
      <c r="B706" s="1">
        <v>44937</v>
      </c>
      <c r="C706" t="s">
        <v>1233</v>
      </c>
      <c r="D706" t="s">
        <v>1259</v>
      </c>
      <c r="E706" t="s">
        <v>48</v>
      </c>
      <c r="F706" t="s">
        <v>19</v>
      </c>
      <c r="G706" t="s">
        <v>107</v>
      </c>
      <c r="H706">
        <v>1</v>
      </c>
      <c r="I706">
        <v>4500</v>
      </c>
      <c r="J706">
        <v>10</v>
      </c>
      <c r="K706">
        <v>450</v>
      </c>
      <c r="L706">
        <v>4050</v>
      </c>
      <c r="M706">
        <v>933.44</v>
      </c>
      <c r="N706" t="s">
        <v>99</v>
      </c>
      <c r="O706" t="s">
        <v>22</v>
      </c>
      <c r="P706" t="str">
        <f t="shared" si="20"/>
        <v>Low Value</v>
      </c>
      <c r="Q706" t="str">
        <f t="shared" si="21"/>
        <v>Low</v>
      </c>
      <c r="R706" t="str" cm="1">
        <f t="array" ref="R706">_xlfn.IFS(L706&gt;50000,"Premium",L706&gt;20000,"High",L706&gt;5000,"Medium",TRUE,"Low")</f>
        <v>Low</v>
      </c>
    </row>
    <row r="707" spans="1:18" x14ac:dyDescent="0.3">
      <c r="A707" t="s">
        <v>1492</v>
      </c>
      <c r="B707" s="1">
        <v>44998</v>
      </c>
      <c r="C707" t="s">
        <v>432</v>
      </c>
      <c r="D707" t="s">
        <v>1493</v>
      </c>
      <c r="E707" t="s">
        <v>78</v>
      </c>
      <c r="F707" t="s">
        <v>69</v>
      </c>
      <c r="G707" t="s">
        <v>505</v>
      </c>
      <c r="H707">
        <v>5</v>
      </c>
      <c r="I707">
        <v>499</v>
      </c>
      <c r="J707">
        <v>25</v>
      </c>
      <c r="K707">
        <v>623.75</v>
      </c>
      <c r="L707">
        <v>1871.25</v>
      </c>
      <c r="M707">
        <v>374.39</v>
      </c>
      <c r="N707" t="s">
        <v>41</v>
      </c>
      <c r="O707" t="s">
        <v>35</v>
      </c>
      <c r="P707" t="str">
        <f t="shared" ref="P707:P770" si="22">IF(L707&gt;20000,"High Value","Low Value")</f>
        <v>Low Value</v>
      </c>
      <c r="Q707" t="str">
        <f t="shared" ref="Q707:Q770" si="23">IF(L707&gt;50000,"Premium",IF(L707&gt;20000,"High",IF(L707&gt;5000,"Medium","Low")))</f>
        <v>Low</v>
      </c>
      <c r="R707" t="str" cm="1">
        <f t="array" ref="R707">_xlfn.IFS(L707&gt;50000,"Premium",L707&gt;20000,"High",L707&gt;5000,"Medium",TRUE,"Low")</f>
        <v>Low</v>
      </c>
    </row>
    <row r="708" spans="1:18" x14ac:dyDescent="0.3">
      <c r="A708" t="s">
        <v>1494</v>
      </c>
      <c r="B708" s="1">
        <v>45048</v>
      </c>
      <c r="C708" t="s">
        <v>16</v>
      </c>
      <c r="D708" t="s">
        <v>1495</v>
      </c>
      <c r="E708" t="s">
        <v>26</v>
      </c>
      <c r="F708" t="s">
        <v>74</v>
      </c>
      <c r="G708" t="s">
        <v>137</v>
      </c>
      <c r="H708">
        <v>3</v>
      </c>
      <c r="I708">
        <v>2500</v>
      </c>
      <c r="J708">
        <v>10</v>
      </c>
      <c r="K708">
        <v>750</v>
      </c>
      <c r="L708">
        <v>6750</v>
      </c>
      <c r="M708">
        <v>2022.98</v>
      </c>
      <c r="N708" t="s">
        <v>27</v>
      </c>
      <c r="O708" t="s">
        <v>35</v>
      </c>
      <c r="P708" t="str">
        <f t="shared" si="22"/>
        <v>Low Value</v>
      </c>
      <c r="Q708" t="str">
        <f t="shared" si="23"/>
        <v>Medium</v>
      </c>
      <c r="R708" t="str" cm="1">
        <f t="array" ref="R708">_xlfn.IFS(L708&gt;50000,"Premium",L708&gt;20000,"High",L708&gt;5000,"Medium",TRUE,"Low")</f>
        <v>Medium</v>
      </c>
    </row>
    <row r="709" spans="1:18" x14ac:dyDescent="0.3">
      <c r="A709" t="s">
        <v>1496</v>
      </c>
      <c r="B709" s="1">
        <v>44981</v>
      </c>
      <c r="C709" t="s">
        <v>709</v>
      </c>
      <c r="D709" t="s">
        <v>861</v>
      </c>
      <c r="E709" t="s">
        <v>54</v>
      </c>
      <c r="F709" t="s">
        <v>69</v>
      </c>
      <c r="G709" t="s">
        <v>202</v>
      </c>
      <c r="H709">
        <v>3</v>
      </c>
      <c r="I709">
        <v>1299</v>
      </c>
      <c r="J709">
        <v>15</v>
      </c>
      <c r="K709">
        <v>584.54999999999995</v>
      </c>
      <c r="L709">
        <v>3312.45</v>
      </c>
      <c r="M709">
        <v>571.44000000000005</v>
      </c>
      <c r="N709" t="s">
        <v>21</v>
      </c>
      <c r="O709" t="s">
        <v>35</v>
      </c>
      <c r="P709" t="str">
        <f t="shared" si="22"/>
        <v>Low Value</v>
      </c>
      <c r="Q709" t="str">
        <f t="shared" si="23"/>
        <v>Low</v>
      </c>
      <c r="R709" t="str" cm="1">
        <f t="array" ref="R709">_xlfn.IFS(L709&gt;50000,"Premium",L709&gt;20000,"High",L709&gt;5000,"Medium",TRUE,"Low")</f>
        <v>Low</v>
      </c>
    </row>
    <row r="710" spans="1:18" x14ac:dyDescent="0.3">
      <c r="A710" t="s">
        <v>1497</v>
      </c>
      <c r="B710" s="1">
        <v>45285</v>
      </c>
      <c r="C710" t="s">
        <v>1472</v>
      </c>
      <c r="D710" t="s">
        <v>30</v>
      </c>
      <c r="E710" t="s">
        <v>48</v>
      </c>
      <c r="F710" t="s">
        <v>19</v>
      </c>
      <c r="G710" t="s">
        <v>103</v>
      </c>
      <c r="H710">
        <v>5</v>
      </c>
      <c r="I710">
        <v>3500</v>
      </c>
      <c r="J710">
        <v>15</v>
      </c>
      <c r="K710">
        <v>2625</v>
      </c>
      <c r="L710">
        <v>14875</v>
      </c>
      <c r="M710">
        <v>2862.79</v>
      </c>
      <c r="N710" t="s">
        <v>41</v>
      </c>
      <c r="O710" t="s">
        <v>35</v>
      </c>
      <c r="P710" t="str">
        <f t="shared" si="22"/>
        <v>Low Value</v>
      </c>
      <c r="Q710" t="str">
        <f t="shared" si="23"/>
        <v>Medium</v>
      </c>
      <c r="R710" t="str" cm="1">
        <f t="array" ref="R710">_xlfn.IFS(L710&gt;50000,"Premium",L710&gt;20000,"High",L710&gt;5000,"Medium",TRUE,"Low")</f>
        <v>Medium</v>
      </c>
    </row>
    <row r="711" spans="1:18" x14ac:dyDescent="0.3">
      <c r="A711" t="s">
        <v>1498</v>
      </c>
      <c r="B711" s="1">
        <v>45084</v>
      </c>
      <c r="C711" t="s">
        <v>969</v>
      </c>
      <c r="D711" t="s">
        <v>58</v>
      </c>
      <c r="E711" t="s">
        <v>78</v>
      </c>
      <c r="F711" t="s">
        <v>19</v>
      </c>
      <c r="G711" t="s">
        <v>236</v>
      </c>
      <c r="H711">
        <v>5</v>
      </c>
      <c r="I711">
        <v>800</v>
      </c>
      <c r="J711">
        <v>0</v>
      </c>
      <c r="K711">
        <v>0</v>
      </c>
      <c r="L711">
        <v>4000</v>
      </c>
      <c r="M711">
        <v>1209.77</v>
      </c>
      <c r="N711" t="s">
        <v>21</v>
      </c>
      <c r="O711" t="s">
        <v>22</v>
      </c>
      <c r="P711" t="str">
        <f t="shared" si="22"/>
        <v>Low Value</v>
      </c>
      <c r="Q711" t="str">
        <f t="shared" si="23"/>
        <v>Low</v>
      </c>
      <c r="R711" t="str" cm="1">
        <f t="array" ref="R711">_xlfn.IFS(L711&gt;50000,"Premium",L711&gt;20000,"High",L711&gt;5000,"Medium",TRUE,"Low")</f>
        <v>Low</v>
      </c>
    </row>
    <row r="712" spans="1:18" x14ac:dyDescent="0.3">
      <c r="A712" t="s">
        <v>1499</v>
      </c>
      <c r="B712" s="1">
        <v>45085</v>
      </c>
      <c r="C712" t="s">
        <v>1233</v>
      </c>
      <c r="D712" t="s">
        <v>324</v>
      </c>
      <c r="E712" t="s">
        <v>26</v>
      </c>
      <c r="F712" t="s">
        <v>60</v>
      </c>
      <c r="G712" t="s">
        <v>115</v>
      </c>
      <c r="H712">
        <v>3</v>
      </c>
      <c r="I712">
        <v>1800</v>
      </c>
      <c r="J712">
        <v>25</v>
      </c>
      <c r="K712">
        <v>1350</v>
      </c>
      <c r="L712">
        <v>4050</v>
      </c>
      <c r="M712">
        <v>350.8</v>
      </c>
      <c r="N712" t="s">
        <v>99</v>
      </c>
      <c r="O712" t="s">
        <v>22</v>
      </c>
      <c r="P712" t="str">
        <f t="shared" si="22"/>
        <v>Low Value</v>
      </c>
      <c r="Q712" t="str">
        <f t="shared" si="23"/>
        <v>Low</v>
      </c>
      <c r="R712" t="str" cm="1">
        <f t="array" ref="R712">_xlfn.IFS(L712&gt;50000,"Premium",L712&gt;20000,"High",L712&gt;5000,"Medium",TRUE,"Low")</f>
        <v>Low</v>
      </c>
    </row>
    <row r="713" spans="1:18" x14ac:dyDescent="0.3">
      <c r="A713" t="s">
        <v>1500</v>
      </c>
      <c r="B713" s="1">
        <v>45057</v>
      </c>
      <c r="C713" t="s">
        <v>1501</v>
      </c>
      <c r="D713" t="s">
        <v>504</v>
      </c>
      <c r="E713" t="s">
        <v>48</v>
      </c>
      <c r="F713" t="s">
        <v>32</v>
      </c>
      <c r="G713" t="s">
        <v>253</v>
      </c>
      <c r="H713">
        <v>2</v>
      </c>
      <c r="I713">
        <v>350</v>
      </c>
      <c r="J713">
        <v>10</v>
      </c>
      <c r="K713">
        <v>70</v>
      </c>
      <c r="L713">
        <v>630</v>
      </c>
      <c r="M713">
        <v>71.260000000000005</v>
      </c>
      <c r="N713" t="s">
        <v>41</v>
      </c>
      <c r="O713" t="s">
        <v>35</v>
      </c>
      <c r="P713" t="str">
        <f t="shared" si="22"/>
        <v>Low Value</v>
      </c>
      <c r="Q713" t="str">
        <f t="shared" si="23"/>
        <v>Low</v>
      </c>
      <c r="R713" t="str" cm="1">
        <f t="array" ref="R713">_xlfn.IFS(L713&gt;50000,"Premium",L713&gt;20000,"High",L713&gt;5000,"Medium",TRUE,"Low")</f>
        <v>Low</v>
      </c>
    </row>
    <row r="714" spans="1:18" x14ac:dyDescent="0.3">
      <c r="A714" t="s">
        <v>1502</v>
      </c>
      <c r="B714" s="1">
        <v>45067</v>
      </c>
      <c r="C714" t="s">
        <v>1188</v>
      </c>
      <c r="D714" t="s">
        <v>405</v>
      </c>
      <c r="E714" t="s">
        <v>18</v>
      </c>
      <c r="F714" t="s">
        <v>49</v>
      </c>
      <c r="G714" t="s">
        <v>50</v>
      </c>
      <c r="H714">
        <v>4</v>
      </c>
      <c r="I714">
        <v>499</v>
      </c>
      <c r="J714">
        <v>15</v>
      </c>
      <c r="K714">
        <v>299.39999999999998</v>
      </c>
      <c r="L714">
        <v>1696.6</v>
      </c>
      <c r="M714">
        <v>459.92</v>
      </c>
      <c r="N714" t="s">
        <v>27</v>
      </c>
      <c r="O714" t="s">
        <v>35</v>
      </c>
      <c r="P714" t="str">
        <f t="shared" si="22"/>
        <v>Low Value</v>
      </c>
      <c r="Q714" t="str">
        <f t="shared" si="23"/>
        <v>Low</v>
      </c>
      <c r="R714" t="str" cm="1">
        <f t="array" ref="R714">_xlfn.IFS(L714&gt;50000,"Premium",L714&gt;20000,"High",L714&gt;5000,"Medium",TRUE,"Low")</f>
        <v>Low</v>
      </c>
    </row>
    <row r="715" spans="1:18" x14ac:dyDescent="0.3">
      <c r="A715" t="s">
        <v>1503</v>
      </c>
      <c r="B715" s="1">
        <v>45186</v>
      </c>
      <c r="C715" t="s">
        <v>187</v>
      </c>
      <c r="D715" t="s">
        <v>710</v>
      </c>
      <c r="E715" t="s">
        <v>59</v>
      </c>
      <c r="F715" t="s">
        <v>19</v>
      </c>
      <c r="G715" t="s">
        <v>103</v>
      </c>
      <c r="H715">
        <v>4</v>
      </c>
      <c r="I715">
        <v>3500</v>
      </c>
      <c r="J715">
        <v>20</v>
      </c>
      <c r="K715">
        <v>2800</v>
      </c>
      <c r="L715">
        <v>11200</v>
      </c>
      <c r="M715">
        <v>3010.22</v>
      </c>
      <c r="N715" t="s">
        <v>99</v>
      </c>
      <c r="O715" t="s">
        <v>35</v>
      </c>
      <c r="P715" t="str">
        <f t="shared" si="22"/>
        <v>Low Value</v>
      </c>
      <c r="Q715" t="str">
        <f t="shared" si="23"/>
        <v>Medium</v>
      </c>
      <c r="R715" t="str" cm="1">
        <f t="array" ref="R715">_xlfn.IFS(L715&gt;50000,"Premium",L715&gt;20000,"High",L715&gt;5000,"Medium",TRUE,"Low")</f>
        <v>Medium</v>
      </c>
    </row>
    <row r="716" spans="1:18" x14ac:dyDescent="0.3">
      <c r="A716" t="s">
        <v>1504</v>
      </c>
      <c r="B716" s="1">
        <v>45249</v>
      </c>
      <c r="C716" t="s">
        <v>1369</v>
      </c>
      <c r="D716" t="s">
        <v>775</v>
      </c>
      <c r="E716" t="s">
        <v>18</v>
      </c>
      <c r="F716" t="s">
        <v>39</v>
      </c>
      <c r="G716" t="s">
        <v>209</v>
      </c>
      <c r="H716">
        <v>2</v>
      </c>
      <c r="I716">
        <v>3200</v>
      </c>
      <c r="J716">
        <v>0</v>
      </c>
      <c r="K716">
        <v>0</v>
      </c>
      <c r="L716">
        <v>6400</v>
      </c>
      <c r="M716">
        <v>1089.27</v>
      </c>
      <c r="N716" t="s">
        <v>99</v>
      </c>
      <c r="O716" t="s">
        <v>35</v>
      </c>
      <c r="P716" t="str">
        <f t="shared" si="22"/>
        <v>Low Value</v>
      </c>
      <c r="Q716" t="str">
        <f t="shared" si="23"/>
        <v>Medium</v>
      </c>
      <c r="R716" t="str" cm="1">
        <f t="array" ref="R716">_xlfn.IFS(L716&gt;50000,"Premium",L716&gt;20000,"High",L716&gt;5000,"Medium",TRUE,"Low")</f>
        <v>Medium</v>
      </c>
    </row>
    <row r="717" spans="1:18" x14ac:dyDescent="0.3">
      <c r="A717" t="s">
        <v>1505</v>
      </c>
      <c r="B717" s="1">
        <v>45054</v>
      </c>
      <c r="C717" t="s">
        <v>1506</v>
      </c>
      <c r="D717" t="s">
        <v>710</v>
      </c>
      <c r="E717" t="s">
        <v>54</v>
      </c>
      <c r="F717" t="s">
        <v>74</v>
      </c>
      <c r="G717" t="s">
        <v>192</v>
      </c>
      <c r="H717">
        <v>2</v>
      </c>
      <c r="I717">
        <v>12000</v>
      </c>
      <c r="J717">
        <v>20</v>
      </c>
      <c r="K717">
        <v>4800</v>
      </c>
      <c r="L717">
        <v>19200</v>
      </c>
      <c r="M717">
        <v>4909.9399999999996</v>
      </c>
      <c r="N717" t="s">
        <v>27</v>
      </c>
      <c r="O717" t="s">
        <v>35</v>
      </c>
      <c r="P717" t="str">
        <f t="shared" si="22"/>
        <v>Low Value</v>
      </c>
      <c r="Q717" t="str">
        <f t="shared" si="23"/>
        <v>Medium</v>
      </c>
      <c r="R717" t="str" cm="1">
        <f t="array" ref="R717">_xlfn.IFS(L717&gt;50000,"Premium",L717&gt;20000,"High",L717&gt;5000,"Medium",TRUE,"Low")</f>
        <v>Medium</v>
      </c>
    </row>
    <row r="718" spans="1:18" x14ac:dyDescent="0.3">
      <c r="A718" t="s">
        <v>1507</v>
      </c>
      <c r="B718" s="1">
        <v>45015</v>
      </c>
      <c r="C718" t="s">
        <v>749</v>
      </c>
      <c r="D718" t="s">
        <v>47</v>
      </c>
      <c r="E718" t="s">
        <v>26</v>
      </c>
      <c r="F718" t="s">
        <v>60</v>
      </c>
      <c r="G718" t="s">
        <v>61</v>
      </c>
      <c r="H718">
        <v>3</v>
      </c>
      <c r="I718">
        <v>850</v>
      </c>
      <c r="J718">
        <v>10</v>
      </c>
      <c r="K718">
        <v>255</v>
      </c>
      <c r="L718">
        <v>2295</v>
      </c>
      <c r="M718">
        <v>251.53</v>
      </c>
      <c r="N718" t="s">
        <v>41</v>
      </c>
      <c r="O718" t="s">
        <v>95</v>
      </c>
      <c r="P718" t="str">
        <f t="shared" si="22"/>
        <v>Low Value</v>
      </c>
      <c r="Q718" t="str">
        <f t="shared" si="23"/>
        <v>Low</v>
      </c>
      <c r="R718" t="str" cm="1">
        <f t="array" ref="R718">_xlfn.IFS(L718&gt;50000,"Premium",L718&gt;20000,"High",L718&gt;5000,"Medium",TRUE,"Low")</f>
        <v>Low</v>
      </c>
    </row>
    <row r="719" spans="1:18" x14ac:dyDescent="0.3">
      <c r="A719" t="s">
        <v>1508</v>
      </c>
      <c r="B719" s="1">
        <v>45041</v>
      </c>
      <c r="C719" t="s">
        <v>1080</v>
      </c>
      <c r="D719" t="s">
        <v>118</v>
      </c>
      <c r="E719" t="s">
        <v>31</v>
      </c>
      <c r="F719" t="s">
        <v>19</v>
      </c>
      <c r="G719" t="s">
        <v>20</v>
      </c>
      <c r="H719">
        <v>5</v>
      </c>
      <c r="I719">
        <v>18000</v>
      </c>
      <c r="J719">
        <v>25</v>
      </c>
      <c r="K719">
        <v>22500</v>
      </c>
      <c r="L719">
        <v>67500</v>
      </c>
      <c r="M719">
        <v>15768.06</v>
      </c>
      <c r="N719" t="s">
        <v>34</v>
      </c>
      <c r="O719" t="s">
        <v>35</v>
      </c>
      <c r="P719" t="str">
        <f t="shared" si="22"/>
        <v>High Value</v>
      </c>
      <c r="Q719" t="str">
        <f t="shared" si="23"/>
        <v>Premium</v>
      </c>
      <c r="R719" t="str" cm="1">
        <f t="array" ref="R719">_xlfn.IFS(L719&gt;50000,"Premium",L719&gt;20000,"High",L719&gt;5000,"Medium",TRUE,"Low")</f>
        <v>Premium</v>
      </c>
    </row>
    <row r="720" spans="1:18" x14ac:dyDescent="0.3">
      <c r="A720" t="s">
        <v>1509</v>
      </c>
      <c r="B720" s="1">
        <v>44952</v>
      </c>
      <c r="C720" t="s">
        <v>786</v>
      </c>
      <c r="D720" t="s">
        <v>47</v>
      </c>
      <c r="E720" t="s">
        <v>18</v>
      </c>
      <c r="F720" t="s">
        <v>39</v>
      </c>
      <c r="G720" t="s">
        <v>79</v>
      </c>
      <c r="H720">
        <v>4</v>
      </c>
      <c r="I720">
        <v>25000</v>
      </c>
      <c r="J720">
        <v>20</v>
      </c>
      <c r="K720">
        <v>20000</v>
      </c>
      <c r="L720">
        <v>80000</v>
      </c>
      <c r="M720">
        <v>10243.790000000001</v>
      </c>
      <c r="N720" t="s">
        <v>99</v>
      </c>
      <c r="O720" t="s">
        <v>95</v>
      </c>
      <c r="P720" t="str">
        <f t="shared" si="22"/>
        <v>High Value</v>
      </c>
      <c r="Q720" t="str">
        <f t="shared" si="23"/>
        <v>Premium</v>
      </c>
      <c r="R720" t="str" cm="1">
        <f t="array" ref="R720">_xlfn.IFS(L720&gt;50000,"Premium",L720&gt;20000,"High",L720&gt;5000,"Medium",TRUE,"Low")</f>
        <v>Premium</v>
      </c>
    </row>
    <row r="721" spans="1:18" x14ac:dyDescent="0.3">
      <c r="A721" t="s">
        <v>1510</v>
      </c>
      <c r="B721" s="1">
        <v>45149</v>
      </c>
      <c r="C721" t="s">
        <v>1511</v>
      </c>
      <c r="D721" t="s">
        <v>917</v>
      </c>
      <c r="E721" t="s">
        <v>78</v>
      </c>
      <c r="F721" t="s">
        <v>49</v>
      </c>
      <c r="G721" t="s">
        <v>603</v>
      </c>
      <c r="H721">
        <v>4</v>
      </c>
      <c r="I721">
        <v>449</v>
      </c>
      <c r="J721">
        <v>0</v>
      </c>
      <c r="K721">
        <v>0</v>
      </c>
      <c r="L721">
        <v>1796</v>
      </c>
      <c r="M721">
        <v>210.75</v>
      </c>
      <c r="N721" t="s">
        <v>41</v>
      </c>
      <c r="O721" t="s">
        <v>22</v>
      </c>
      <c r="P721" t="str">
        <f t="shared" si="22"/>
        <v>Low Value</v>
      </c>
      <c r="Q721" t="str">
        <f t="shared" si="23"/>
        <v>Low</v>
      </c>
      <c r="R721" t="str" cm="1">
        <f t="array" ref="R721">_xlfn.IFS(L721&gt;50000,"Premium",L721&gt;20000,"High",L721&gt;5000,"Medium",TRUE,"Low")</f>
        <v>Low</v>
      </c>
    </row>
    <row r="722" spans="1:18" x14ac:dyDescent="0.3">
      <c r="A722" t="s">
        <v>1512</v>
      </c>
      <c r="B722" s="1">
        <v>44993</v>
      </c>
      <c r="C722" t="s">
        <v>636</v>
      </c>
      <c r="D722" t="s">
        <v>1513</v>
      </c>
      <c r="E722" t="s">
        <v>26</v>
      </c>
      <c r="F722" t="s">
        <v>39</v>
      </c>
      <c r="G722" t="s">
        <v>209</v>
      </c>
      <c r="H722">
        <v>2</v>
      </c>
      <c r="I722">
        <v>3200</v>
      </c>
      <c r="J722">
        <v>20</v>
      </c>
      <c r="K722">
        <v>1280</v>
      </c>
      <c r="L722">
        <v>5120</v>
      </c>
      <c r="M722">
        <v>587.11</v>
      </c>
      <c r="N722" t="s">
        <v>27</v>
      </c>
      <c r="O722" t="s">
        <v>22</v>
      </c>
      <c r="P722" t="str">
        <f t="shared" si="22"/>
        <v>Low Value</v>
      </c>
      <c r="Q722" t="str">
        <f t="shared" si="23"/>
        <v>Medium</v>
      </c>
      <c r="R722" t="str" cm="1">
        <f t="array" ref="R722">_xlfn.IFS(L722&gt;50000,"Premium",L722&gt;20000,"High",L722&gt;5000,"Medium",TRUE,"Low")</f>
        <v>Medium</v>
      </c>
    </row>
    <row r="723" spans="1:18" x14ac:dyDescent="0.3">
      <c r="A723" t="s">
        <v>1514</v>
      </c>
      <c r="B723" s="1">
        <v>45001</v>
      </c>
      <c r="C723" t="s">
        <v>1515</v>
      </c>
      <c r="D723" t="s">
        <v>1516</v>
      </c>
      <c r="E723" t="s">
        <v>54</v>
      </c>
      <c r="F723" t="s">
        <v>19</v>
      </c>
      <c r="G723" t="s">
        <v>103</v>
      </c>
      <c r="H723">
        <v>3</v>
      </c>
      <c r="I723">
        <v>3500</v>
      </c>
      <c r="J723">
        <v>5</v>
      </c>
      <c r="K723">
        <v>525</v>
      </c>
      <c r="L723">
        <v>9975</v>
      </c>
      <c r="M723">
        <v>2347.16</v>
      </c>
      <c r="N723" t="s">
        <v>99</v>
      </c>
      <c r="O723" t="s">
        <v>35</v>
      </c>
      <c r="P723" t="str">
        <f t="shared" si="22"/>
        <v>Low Value</v>
      </c>
      <c r="Q723" t="str">
        <f t="shared" si="23"/>
        <v>Medium</v>
      </c>
      <c r="R723" t="str" cm="1">
        <f t="array" ref="R723">_xlfn.IFS(L723&gt;50000,"Premium",L723&gt;20000,"High",L723&gt;5000,"Medium",TRUE,"Low")</f>
        <v>Medium</v>
      </c>
    </row>
    <row r="724" spans="1:18" x14ac:dyDescent="0.3">
      <c r="A724" t="s">
        <v>1517</v>
      </c>
      <c r="B724" s="1">
        <v>45167</v>
      </c>
      <c r="C724" t="s">
        <v>1518</v>
      </c>
      <c r="D724" t="s">
        <v>464</v>
      </c>
      <c r="E724" t="s">
        <v>78</v>
      </c>
      <c r="F724" t="s">
        <v>69</v>
      </c>
      <c r="G724" t="s">
        <v>111</v>
      </c>
      <c r="H724">
        <v>3</v>
      </c>
      <c r="I724">
        <v>3499</v>
      </c>
      <c r="J724">
        <v>25</v>
      </c>
      <c r="K724">
        <v>2624.25</v>
      </c>
      <c r="L724">
        <v>7872.75</v>
      </c>
      <c r="M724">
        <v>1332.59</v>
      </c>
      <c r="N724" t="s">
        <v>99</v>
      </c>
      <c r="O724" t="s">
        <v>35</v>
      </c>
      <c r="P724" t="str">
        <f t="shared" si="22"/>
        <v>Low Value</v>
      </c>
      <c r="Q724" t="str">
        <f t="shared" si="23"/>
        <v>Medium</v>
      </c>
      <c r="R724" t="str" cm="1">
        <f t="array" ref="R724">_xlfn.IFS(L724&gt;50000,"Premium",L724&gt;20000,"High",L724&gt;5000,"Medium",TRUE,"Low")</f>
        <v>Medium</v>
      </c>
    </row>
    <row r="725" spans="1:18" x14ac:dyDescent="0.3">
      <c r="A725" t="s">
        <v>1519</v>
      </c>
      <c r="B725" s="1">
        <v>45212</v>
      </c>
      <c r="C725" t="s">
        <v>723</v>
      </c>
      <c r="D725" t="s">
        <v>284</v>
      </c>
      <c r="E725" t="s">
        <v>59</v>
      </c>
      <c r="F725" t="s">
        <v>19</v>
      </c>
      <c r="G725" t="s">
        <v>20</v>
      </c>
      <c r="H725">
        <v>3</v>
      </c>
      <c r="I725">
        <v>18000</v>
      </c>
      <c r="J725">
        <v>5</v>
      </c>
      <c r="K725">
        <v>2700</v>
      </c>
      <c r="L725">
        <v>51300</v>
      </c>
      <c r="M725">
        <v>9812.65</v>
      </c>
      <c r="N725" t="s">
        <v>99</v>
      </c>
      <c r="O725" t="s">
        <v>35</v>
      </c>
      <c r="P725" t="str">
        <f t="shared" si="22"/>
        <v>High Value</v>
      </c>
      <c r="Q725" t="str">
        <f t="shared" si="23"/>
        <v>Premium</v>
      </c>
      <c r="R725" t="str" cm="1">
        <f t="array" ref="R725">_xlfn.IFS(L725&gt;50000,"Premium",L725&gt;20000,"High",L725&gt;5000,"Medium",TRUE,"Low")</f>
        <v>Premium</v>
      </c>
    </row>
    <row r="726" spans="1:18" x14ac:dyDescent="0.3">
      <c r="A726" t="s">
        <v>1520</v>
      </c>
      <c r="B726" s="1">
        <v>45185</v>
      </c>
      <c r="C726" t="s">
        <v>1399</v>
      </c>
      <c r="D726" t="s">
        <v>599</v>
      </c>
      <c r="E726" t="s">
        <v>83</v>
      </c>
      <c r="F726" t="s">
        <v>74</v>
      </c>
      <c r="G726" t="s">
        <v>75</v>
      </c>
      <c r="H726">
        <v>3</v>
      </c>
      <c r="I726">
        <v>2200</v>
      </c>
      <c r="J726">
        <v>15</v>
      </c>
      <c r="K726">
        <v>990</v>
      </c>
      <c r="L726">
        <v>5610</v>
      </c>
      <c r="M726">
        <v>1410.23</v>
      </c>
      <c r="N726" t="s">
        <v>34</v>
      </c>
      <c r="O726" t="s">
        <v>35</v>
      </c>
      <c r="P726" t="str">
        <f t="shared" si="22"/>
        <v>Low Value</v>
      </c>
      <c r="Q726" t="str">
        <f t="shared" si="23"/>
        <v>Medium</v>
      </c>
      <c r="R726" t="str" cm="1">
        <f t="array" ref="R726">_xlfn.IFS(L726&gt;50000,"Premium",L726&gt;20000,"High",L726&gt;5000,"Medium",TRUE,"Low")</f>
        <v>Medium</v>
      </c>
    </row>
    <row r="727" spans="1:18" x14ac:dyDescent="0.3">
      <c r="A727" t="s">
        <v>1521</v>
      </c>
      <c r="B727" s="1">
        <v>45184</v>
      </c>
      <c r="C727" t="s">
        <v>908</v>
      </c>
      <c r="D727" t="s">
        <v>803</v>
      </c>
      <c r="E727" t="s">
        <v>83</v>
      </c>
      <c r="F727" t="s">
        <v>39</v>
      </c>
      <c r="G727" t="s">
        <v>126</v>
      </c>
      <c r="H727">
        <v>4</v>
      </c>
      <c r="I727">
        <v>4200</v>
      </c>
      <c r="J727">
        <v>5</v>
      </c>
      <c r="K727">
        <v>840</v>
      </c>
      <c r="L727">
        <v>15960</v>
      </c>
      <c r="M727">
        <v>1227.23</v>
      </c>
      <c r="N727" t="s">
        <v>34</v>
      </c>
      <c r="O727" t="s">
        <v>35</v>
      </c>
      <c r="P727" t="str">
        <f t="shared" si="22"/>
        <v>Low Value</v>
      </c>
      <c r="Q727" t="str">
        <f t="shared" si="23"/>
        <v>Medium</v>
      </c>
      <c r="R727" t="str" cm="1">
        <f t="array" ref="R727">_xlfn.IFS(L727&gt;50000,"Premium",L727&gt;20000,"High",L727&gt;5000,"Medium",TRUE,"Low")</f>
        <v>Medium</v>
      </c>
    </row>
    <row r="728" spans="1:18" x14ac:dyDescent="0.3">
      <c r="A728" t="s">
        <v>1522</v>
      </c>
      <c r="B728" s="1">
        <v>45087</v>
      </c>
      <c r="C728" t="s">
        <v>1188</v>
      </c>
      <c r="D728" t="s">
        <v>438</v>
      </c>
      <c r="E728" t="s">
        <v>78</v>
      </c>
      <c r="F728" t="s">
        <v>19</v>
      </c>
      <c r="G728" t="s">
        <v>65</v>
      </c>
      <c r="H728">
        <v>4</v>
      </c>
      <c r="I728">
        <v>55000</v>
      </c>
      <c r="J728">
        <v>10</v>
      </c>
      <c r="K728">
        <v>22000</v>
      </c>
      <c r="L728">
        <v>198000</v>
      </c>
      <c r="M728">
        <v>54320.71</v>
      </c>
      <c r="N728" t="s">
        <v>21</v>
      </c>
      <c r="O728" t="s">
        <v>35</v>
      </c>
      <c r="P728" t="str">
        <f t="shared" si="22"/>
        <v>High Value</v>
      </c>
      <c r="Q728" t="str">
        <f t="shared" si="23"/>
        <v>Premium</v>
      </c>
      <c r="R728" t="str" cm="1">
        <f t="array" ref="R728">_xlfn.IFS(L728&gt;50000,"Premium",L728&gt;20000,"High",L728&gt;5000,"Medium",TRUE,"Low")</f>
        <v>Premium</v>
      </c>
    </row>
    <row r="729" spans="1:18" x14ac:dyDescent="0.3">
      <c r="A729" t="s">
        <v>1523</v>
      </c>
      <c r="B729" s="1">
        <v>45191</v>
      </c>
      <c r="C729" t="s">
        <v>399</v>
      </c>
      <c r="D729" t="s">
        <v>1524</v>
      </c>
      <c r="E729" t="s">
        <v>54</v>
      </c>
      <c r="F729" t="s">
        <v>32</v>
      </c>
      <c r="G729" t="s">
        <v>259</v>
      </c>
      <c r="H729">
        <v>2</v>
      </c>
      <c r="I729">
        <v>450</v>
      </c>
      <c r="J729">
        <v>10</v>
      </c>
      <c r="K729">
        <v>90</v>
      </c>
      <c r="L729">
        <v>810</v>
      </c>
      <c r="M729">
        <v>219.56</v>
      </c>
      <c r="N729" t="s">
        <v>99</v>
      </c>
      <c r="O729" t="s">
        <v>35</v>
      </c>
      <c r="P729" t="str">
        <f t="shared" si="22"/>
        <v>Low Value</v>
      </c>
      <c r="Q729" t="str">
        <f t="shared" si="23"/>
        <v>Low</v>
      </c>
      <c r="R729" t="str" cm="1">
        <f t="array" ref="R729">_xlfn.IFS(L729&gt;50000,"Premium",L729&gt;20000,"High",L729&gt;5000,"Medium",TRUE,"Low")</f>
        <v>Low</v>
      </c>
    </row>
    <row r="730" spans="1:18" x14ac:dyDescent="0.3">
      <c r="A730" t="s">
        <v>1525</v>
      </c>
      <c r="B730" s="1">
        <v>45003</v>
      </c>
      <c r="C730" t="s">
        <v>1526</v>
      </c>
      <c r="D730" t="s">
        <v>198</v>
      </c>
      <c r="E730" t="s">
        <v>18</v>
      </c>
      <c r="F730" t="s">
        <v>19</v>
      </c>
      <c r="G730" t="s">
        <v>65</v>
      </c>
      <c r="H730">
        <v>2</v>
      </c>
      <c r="I730">
        <v>55000</v>
      </c>
      <c r="J730">
        <v>0</v>
      </c>
      <c r="K730">
        <v>0</v>
      </c>
      <c r="L730">
        <v>110000</v>
      </c>
      <c r="M730">
        <v>21018.17</v>
      </c>
      <c r="N730" t="s">
        <v>41</v>
      </c>
      <c r="O730" t="s">
        <v>35</v>
      </c>
      <c r="P730" t="str">
        <f t="shared" si="22"/>
        <v>High Value</v>
      </c>
      <c r="Q730" t="str">
        <f t="shared" si="23"/>
        <v>Premium</v>
      </c>
      <c r="R730" t="str" cm="1">
        <f t="array" ref="R730">_xlfn.IFS(L730&gt;50000,"Premium",L730&gt;20000,"High",L730&gt;5000,"Medium",TRUE,"Low")</f>
        <v>Premium</v>
      </c>
    </row>
    <row r="731" spans="1:18" x14ac:dyDescent="0.3">
      <c r="A731" t="s">
        <v>1527</v>
      </c>
      <c r="B731" s="1">
        <v>45153</v>
      </c>
      <c r="C731" t="s">
        <v>1397</v>
      </c>
      <c r="D731" t="s">
        <v>949</v>
      </c>
      <c r="E731" t="s">
        <v>48</v>
      </c>
      <c r="F731" t="s">
        <v>32</v>
      </c>
      <c r="G731" t="s">
        <v>55</v>
      </c>
      <c r="H731">
        <v>5</v>
      </c>
      <c r="I731">
        <v>250</v>
      </c>
      <c r="J731">
        <v>15</v>
      </c>
      <c r="K731">
        <v>187.5</v>
      </c>
      <c r="L731">
        <v>1062.5</v>
      </c>
      <c r="M731">
        <v>199.04</v>
      </c>
      <c r="N731" t="s">
        <v>99</v>
      </c>
      <c r="O731" t="s">
        <v>35</v>
      </c>
      <c r="P731" t="str">
        <f t="shared" si="22"/>
        <v>Low Value</v>
      </c>
      <c r="Q731" t="str">
        <f t="shared" si="23"/>
        <v>Low</v>
      </c>
      <c r="R731" t="str" cm="1">
        <f t="array" ref="R731">_xlfn.IFS(L731&gt;50000,"Premium",L731&gt;20000,"High",L731&gt;5000,"Medium",TRUE,"Low")</f>
        <v>Low</v>
      </c>
    </row>
    <row r="732" spans="1:18" x14ac:dyDescent="0.3">
      <c r="A732" t="s">
        <v>1528</v>
      </c>
      <c r="B732" s="1">
        <v>45072</v>
      </c>
      <c r="C732" t="s">
        <v>1480</v>
      </c>
      <c r="D732" t="s">
        <v>577</v>
      </c>
      <c r="E732" t="s">
        <v>31</v>
      </c>
      <c r="F732" t="s">
        <v>69</v>
      </c>
      <c r="G732" t="s">
        <v>111</v>
      </c>
      <c r="H732">
        <v>2</v>
      </c>
      <c r="I732">
        <v>3499</v>
      </c>
      <c r="J732">
        <v>25</v>
      </c>
      <c r="K732">
        <v>1749.5</v>
      </c>
      <c r="L732">
        <v>5248.5</v>
      </c>
      <c r="M732">
        <v>1063.46</v>
      </c>
      <c r="N732" t="s">
        <v>21</v>
      </c>
      <c r="O732" t="s">
        <v>35</v>
      </c>
      <c r="P732" t="str">
        <f t="shared" si="22"/>
        <v>Low Value</v>
      </c>
      <c r="Q732" t="str">
        <f t="shared" si="23"/>
        <v>Medium</v>
      </c>
      <c r="R732" t="str" cm="1">
        <f t="array" ref="R732">_xlfn.IFS(L732&gt;50000,"Premium",L732&gt;20000,"High",L732&gt;5000,"Medium",TRUE,"Low")</f>
        <v>Medium</v>
      </c>
    </row>
    <row r="733" spans="1:18" x14ac:dyDescent="0.3">
      <c r="A733" t="s">
        <v>1529</v>
      </c>
      <c r="B733" s="1">
        <v>45196</v>
      </c>
      <c r="C733" t="s">
        <v>1472</v>
      </c>
      <c r="D733" t="s">
        <v>1304</v>
      </c>
      <c r="E733" t="s">
        <v>48</v>
      </c>
      <c r="F733" t="s">
        <v>49</v>
      </c>
      <c r="G733" t="s">
        <v>331</v>
      </c>
      <c r="H733">
        <v>2</v>
      </c>
      <c r="I733">
        <v>699</v>
      </c>
      <c r="J733">
        <v>15</v>
      </c>
      <c r="K733">
        <v>209.7</v>
      </c>
      <c r="L733">
        <v>1188.3</v>
      </c>
      <c r="M733">
        <v>387.53</v>
      </c>
      <c r="N733" t="s">
        <v>99</v>
      </c>
      <c r="O733" t="s">
        <v>35</v>
      </c>
      <c r="P733" t="str">
        <f t="shared" si="22"/>
        <v>Low Value</v>
      </c>
      <c r="Q733" t="str">
        <f t="shared" si="23"/>
        <v>Low</v>
      </c>
      <c r="R733" t="str" cm="1">
        <f t="array" ref="R733">_xlfn.IFS(L733&gt;50000,"Premium",L733&gt;20000,"High",L733&gt;5000,"Medium",TRUE,"Low")</f>
        <v>Low</v>
      </c>
    </row>
    <row r="734" spans="1:18" x14ac:dyDescent="0.3">
      <c r="A734" t="s">
        <v>1530</v>
      </c>
      <c r="B734" s="1">
        <v>45275</v>
      </c>
      <c r="C734" t="s">
        <v>194</v>
      </c>
      <c r="D734" t="s">
        <v>1118</v>
      </c>
      <c r="E734" t="s">
        <v>83</v>
      </c>
      <c r="F734" t="s">
        <v>60</v>
      </c>
      <c r="G734" t="s">
        <v>291</v>
      </c>
      <c r="H734">
        <v>4</v>
      </c>
      <c r="I734">
        <v>450</v>
      </c>
      <c r="J734">
        <v>10</v>
      </c>
      <c r="K734">
        <v>180</v>
      </c>
      <c r="L734">
        <v>1620</v>
      </c>
      <c r="M734">
        <v>367.9</v>
      </c>
      <c r="N734" t="s">
        <v>99</v>
      </c>
      <c r="O734" t="s">
        <v>35</v>
      </c>
      <c r="P734" t="str">
        <f t="shared" si="22"/>
        <v>Low Value</v>
      </c>
      <c r="Q734" t="str">
        <f t="shared" si="23"/>
        <v>Low</v>
      </c>
      <c r="R734" t="str" cm="1">
        <f t="array" ref="R734">_xlfn.IFS(L734&gt;50000,"Premium",L734&gt;20000,"High",L734&gt;5000,"Medium",TRUE,"Low")</f>
        <v>Low</v>
      </c>
    </row>
    <row r="735" spans="1:18" x14ac:dyDescent="0.3">
      <c r="A735" t="s">
        <v>1531</v>
      </c>
      <c r="B735" s="1">
        <v>45162</v>
      </c>
      <c r="C735" t="s">
        <v>1532</v>
      </c>
      <c r="D735" t="s">
        <v>391</v>
      </c>
      <c r="E735" t="s">
        <v>48</v>
      </c>
      <c r="F735" t="s">
        <v>49</v>
      </c>
      <c r="G735" t="s">
        <v>458</v>
      </c>
      <c r="H735">
        <v>4</v>
      </c>
      <c r="I735">
        <v>549</v>
      </c>
      <c r="J735">
        <v>15</v>
      </c>
      <c r="K735">
        <v>329.4</v>
      </c>
      <c r="L735">
        <v>1866.6</v>
      </c>
      <c r="M735">
        <v>445.2</v>
      </c>
      <c r="N735" t="s">
        <v>99</v>
      </c>
      <c r="O735" t="s">
        <v>95</v>
      </c>
      <c r="P735" t="str">
        <f t="shared" si="22"/>
        <v>Low Value</v>
      </c>
      <c r="Q735" t="str">
        <f t="shared" si="23"/>
        <v>Low</v>
      </c>
      <c r="R735" t="str" cm="1">
        <f t="array" ref="R735">_xlfn.IFS(L735&gt;50000,"Premium",L735&gt;20000,"High",L735&gt;5000,"Medium",TRUE,"Low")</f>
        <v>Low</v>
      </c>
    </row>
    <row r="736" spans="1:18" x14ac:dyDescent="0.3">
      <c r="A736" t="s">
        <v>1533</v>
      </c>
      <c r="B736" s="1">
        <v>45158</v>
      </c>
      <c r="C736" t="s">
        <v>956</v>
      </c>
      <c r="D736" t="s">
        <v>775</v>
      </c>
      <c r="E736" t="s">
        <v>59</v>
      </c>
      <c r="F736" t="s">
        <v>32</v>
      </c>
      <c r="G736" t="s">
        <v>55</v>
      </c>
      <c r="H736">
        <v>5</v>
      </c>
      <c r="I736">
        <v>250</v>
      </c>
      <c r="J736">
        <v>5</v>
      </c>
      <c r="K736">
        <v>62.5</v>
      </c>
      <c r="L736">
        <v>1187.5</v>
      </c>
      <c r="M736">
        <v>134.66999999999999</v>
      </c>
      <c r="N736" t="s">
        <v>99</v>
      </c>
      <c r="O736" t="s">
        <v>95</v>
      </c>
      <c r="P736" t="str">
        <f t="shared" si="22"/>
        <v>Low Value</v>
      </c>
      <c r="Q736" t="str">
        <f t="shared" si="23"/>
        <v>Low</v>
      </c>
      <c r="R736" t="str" cm="1">
        <f t="array" ref="R736">_xlfn.IFS(L736&gt;50000,"Premium",L736&gt;20000,"High",L736&gt;5000,"Medium",TRUE,"Low")</f>
        <v>Low</v>
      </c>
    </row>
    <row r="737" spans="1:18" x14ac:dyDescent="0.3">
      <c r="A737" t="s">
        <v>1534</v>
      </c>
      <c r="B737" s="1">
        <v>45235</v>
      </c>
      <c r="C737" t="s">
        <v>372</v>
      </c>
      <c r="D737" t="s">
        <v>486</v>
      </c>
      <c r="E737" t="s">
        <v>59</v>
      </c>
      <c r="F737" t="s">
        <v>39</v>
      </c>
      <c r="G737" t="s">
        <v>40</v>
      </c>
      <c r="H737">
        <v>4</v>
      </c>
      <c r="I737">
        <v>8500</v>
      </c>
      <c r="J737">
        <v>10</v>
      </c>
      <c r="K737">
        <v>3400</v>
      </c>
      <c r="L737">
        <v>30600</v>
      </c>
      <c r="M737">
        <v>3164.14</v>
      </c>
      <c r="N737" t="s">
        <v>27</v>
      </c>
      <c r="O737" t="s">
        <v>35</v>
      </c>
      <c r="P737" t="str">
        <f t="shared" si="22"/>
        <v>High Value</v>
      </c>
      <c r="Q737" t="str">
        <f t="shared" si="23"/>
        <v>High</v>
      </c>
      <c r="R737" t="str" cm="1">
        <f t="array" ref="R737">_xlfn.IFS(L737&gt;50000,"Premium",L737&gt;20000,"High",L737&gt;5000,"Medium",TRUE,"Low")</f>
        <v>High</v>
      </c>
    </row>
    <row r="738" spans="1:18" x14ac:dyDescent="0.3">
      <c r="A738" t="s">
        <v>1535</v>
      </c>
      <c r="B738" s="1">
        <v>45125</v>
      </c>
      <c r="C738" t="s">
        <v>1536</v>
      </c>
      <c r="D738" t="s">
        <v>949</v>
      </c>
      <c r="E738" t="s">
        <v>78</v>
      </c>
      <c r="F738" t="s">
        <v>49</v>
      </c>
      <c r="G738" t="s">
        <v>603</v>
      </c>
      <c r="H738">
        <v>3</v>
      </c>
      <c r="I738">
        <v>449</v>
      </c>
      <c r="J738">
        <v>25</v>
      </c>
      <c r="K738">
        <v>336.75</v>
      </c>
      <c r="L738">
        <v>1010.25</v>
      </c>
      <c r="M738">
        <v>278.58999999999997</v>
      </c>
      <c r="N738" t="s">
        <v>41</v>
      </c>
      <c r="O738" t="s">
        <v>22</v>
      </c>
      <c r="P738" t="str">
        <f t="shared" si="22"/>
        <v>Low Value</v>
      </c>
      <c r="Q738" t="str">
        <f t="shared" si="23"/>
        <v>Low</v>
      </c>
      <c r="R738" t="str" cm="1">
        <f t="array" ref="R738">_xlfn.IFS(L738&gt;50000,"Premium",L738&gt;20000,"High",L738&gt;5000,"Medium",TRUE,"Low")</f>
        <v>Low</v>
      </c>
    </row>
    <row r="739" spans="1:18" x14ac:dyDescent="0.3">
      <c r="A739" t="s">
        <v>1537</v>
      </c>
      <c r="B739" s="1">
        <v>45085</v>
      </c>
      <c r="C739" t="s">
        <v>1538</v>
      </c>
      <c r="D739" t="s">
        <v>1539</v>
      </c>
      <c r="E739" t="s">
        <v>31</v>
      </c>
      <c r="F739" t="s">
        <v>60</v>
      </c>
      <c r="G739" t="s">
        <v>61</v>
      </c>
      <c r="H739">
        <v>2</v>
      </c>
      <c r="I739">
        <v>850</v>
      </c>
      <c r="J739">
        <v>10</v>
      </c>
      <c r="K739">
        <v>170</v>
      </c>
      <c r="L739">
        <v>1530</v>
      </c>
      <c r="M739">
        <v>381.97</v>
      </c>
      <c r="N739" t="s">
        <v>41</v>
      </c>
      <c r="O739" t="s">
        <v>22</v>
      </c>
      <c r="P739" t="str">
        <f t="shared" si="22"/>
        <v>Low Value</v>
      </c>
      <c r="Q739" t="str">
        <f t="shared" si="23"/>
        <v>Low</v>
      </c>
      <c r="R739" t="str" cm="1">
        <f t="array" ref="R739">_xlfn.IFS(L739&gt;50000,"Premium",L739&gt;20000,"High",L739&gt;5000,"Medium",TRUE,"Low")</f>
        <v>Low</v>
      </c>
    </row>
    <row r="740" spans="1:18" x14ac:dyDescent="0.3">
      <c r="A740" t="s">
        <v>1540</v>
      </c>
      <c r="B740" s="1">
        <v>45125</v>
      </c>
      <c r="C740" t="s">
        <v>1049</v>
      </c>
      <c r="D740" t="s">
        <v>110</v>
      </c>
      <c r="E740" t="s">
        <v>83</v>
      </c>
      <c r="F740" t="s">
        <v>39</v>
      </c>
      <c r="G740" t="s">
        <v>126</v>
      </c>
      <c r="H740">
        <v>5</v>
      </c>
      <c r="I740">
        <v>4200</v>
      </c>
      <c r="J740">
        <v>20</v>
      </c>
      <c r="K740">
        <v>4200</v>
      </c>
      <c r="L740">
        <v>16800</v>
      </c>
      <c r="M740">
        <v>2972.28</v>
      </c>
      <c r="N740" t="s">
        <v>41</v>
      </c>
      <c r="O740" t="s">
        <v>22</v>
      </c>
      <c r="P740" t="str">
        <f t="shared" si="22"/>
        <v>Low Value</v>
      </c>
      <c r="Q740" t="str">
        <f t="shared" si="23"/>
        <v>Medium</v>
      </c>
      <c r="R740" t="str" cm="1">
        <f t="array" ref="R740">_xlfn.IFS(L740&gt;50000,"Premium",L740&gt;20000,"High",L740&gt;5000,"Medium",TRUE,"Low")</f>
        <v>Medium</v>
      </c>
    </row>
    <row r="741" spans="1:18" x14ac:dyDescent="0.3">
      <c r="A741" t="s">
        <v>1541</v>
      </c>
      <c r="B741" s="1">
        <v>44974</v>
      </c>
      <c r="C741" t="s">
        <v>296</v>
      </c>
      <c r="D741" t="s">
        <v>1270</v>
      </c>
      <c r="E741" t="s">
        <v>18</v>
      </c>
      <c r="F741" t="s">
        <v>19</v>
      </c>
      <c r="G741" t="s">
        <v>130</v>
      </c>
      <c r="H741">
        <v>3</v>
      </c>
      <c r="I741">
        <v>22000</v>
      </c>
      <c r="J741">
        <v>15</v>
      </c>
      <c r="K741">
        <v>9900</v>
      </c>
      <c r="L741">
        <v>56100</v>
      </c>
      <c r="M741">
        <v>14189.49</v>
      </c>
      <c r="N741" t="s">
        <v>34</v>
      </c>
      <c r="O741" t="s">
        <v>22</v>
      </c>
      <c r="P741" t="str">
        <f t="shared" si="22"/>
        <v>High Value</v>
      </c>
      <c r="Q741" t="str">
        <f t="shared" si="23"/>
        <v>Premium</v>
      </c>
      <c r="R741" t="str" cm="1">
        <f t="array" ref="R741">_xlfn.IFS(L741&gt;50000,"Premium",L741&gt;20000,"High",L741&gt;5000,"Medium",TRUE,"Low")</f>
        <v>Premium</v>
      </c>
    </row>
    <row r="742" spans="1:18" x14ac:dyDescent="0.3">
      <c r="A742" t="s">
        <v>1542</v>
      </c>
      <c r="B742" s="1">
        <v>45150</v>
      </c>
      <c r="C742" t="s">
        <v>159</v>
      </c>
      <c r="D742" t="s">
        <v>212</v>
      </c>
      <c r="E742" t="s">
        <v>26</v>
      </c>
      <c r="F742" t="s">
        <v>19</v>
      </c>
      <c r="G742" t="s">
        <v>107</v>
      </c>
      <c r="H742">
        <v>4</v>
      </c>
      <c r="I742">
        <v>4500</v>
      </c>
      <c r="J742">
        <v>10</v>
      </c>
      <c r="K742">
        <v>1800</v>
      </c>
      <c r="L742">
        <v>16200</v>
      </c>
      <c r="M742">
        <v>1532.23</v>
      </c>
      <c r="N742" t="s">
        <v>34</v>
      </c>
      <c r="O742" t="s">
        <v>95</v>
      </c>
      <c r="P742" t="str">
        <f t="shared" si="22"/>
        <v>Low Value</v>
      </c>
      <c r="Q742" t="str">
        <f t="shared" si="23"/>
        <v>Medium</v>
      </c>
      <c r="R742" t="str" cm="1">
        <f t="array" ref="R742">_xlfn.IFS(L742&gt;50000,"Premium",L742&gt;20000,"High",L742&gt;5000,"Medium",TRUE,"Low")</f>
        <v>Medium</v>
      </c>
    </row>
    <row r="743" spans="1:18" x14ac:dyDescent="0.3">
      <c r="A743" t="s">
        <v>1543</v>
      </c>
      <c r="B743" s="1">
        <v>44951</v>
      </c>
      <c r="C743" t="s">
        <v>1544</v>
      </c>
      <c r="D743" t="s">
        <v>408</v>
      </c>
      <c r="E743" t="s">
        <v>54</v>
      </c>
      <c r="F743" t="s">
        <v>74</v>
      </c>
      <c r="G743" t="s">
        <v>137</v>
      </c>
      <c r="H743">
        <v>1</v>
      </c>
      <c r="I743">
        <v>2500</v>
      </c>
      <c r="J743">
        <v>20</v>
      </c>
      <c r="K743">
        <v>500</v>
      </c>
      <c r="L743">
        <v>2000</v>
      </c>
      <c r="M743">
        <v>164.58</v>
      </c>
      <c r="N743" t="s">
        <v>21</v>
      </c>
      <c r="O743" t="s">
        <v>35</v>
      </c>
      <c r="P743" t="str">
        <f t="shared" si="22"/>
        <v>Low Value</v>
      </c>
      <c r="Q743" t="str">
        <f t="shared" si="23"/>
        <v>Low</v>
      </c>
      <c r="R743" t="str" cm="1">
        <f t="array" ref="R743">_xlfn.IFS(L743&gt;50000,"Premium",L743&gt;20000,"High",L743&gt;5000,"Medium",TRUE,"Low")</f>
        <v>Low</v>
      </c>
    </row>
    <row r="744" spans="1:18" x14ac:dyDescent="0.3">
      <c r="A744" t="s">
        <v>1545</v>
      </c>
      <c r="B744" s="1">
        <v>45108</v>
      </c>
      <c r="C744" t="s">
        <v>808</v>
      </c>
      <c r="D744" t="s">
        <v>1009</v>
      </c>
      <c r="E744" t="s">
        <v>83</v>
      </c>
      <c r="F744" t="s">
        <v>32</v>
      </c>
      <c r="G744" t="s">
        <v>361</v>
      </c>
      <c r="H744">
        <v>1</v>
      </c>
      <c r="I744">
        <v>90</v>
      </c>
      <c r="J744">
        <v>20</v>
      </c>
      <c r="K744">
        <v>18</v>
      </c>
      <c r="L744">
        <v>72</v>
      </c>
      <c r="M744">
        <v>3.95</v>
      </c>
      <c r="N744" t="s">
        <v>41</v>
      </c>
      <c r="O744" t="s">
        <v>35</v>
      </c>
      <c r="P744" t="str">
        <f t="shared" si="22"/>
        <v>Low Value</v>
      </c>
      <c r="Q744" t="str">
        <f t="shared" si="23"/>
        <v>Low</v>
      </c>
      <c r="R744" t="str" cm="1">
        <f t="array" ref="R744">_xlfn.IFS(L744&gt;50000,"Premium",L744&gt;20000,"High",L744&gt;5000,"Medium",TRUE,"Low")</f>
        <v>Low</v>
      </c>
    </row>
    <row r="745" spans="1:18" x14ac:dyDescent="0.3">
      <c r="A745" t="s">
        <v>1546</v>
      </c>
      <c r="B745" s="1">
        <v>44969</v>
      </c>
      <c r="C745" t="s">
        <v>421</v>
      </c>
      <c r="D745" t="s">
        <v>1151</v>
      </c>
      <c r="E745" t="s">
        <v>78</v>
      </c>
      <c r="F745" t="s">
        <v>39</v>
      </c>
      <c r="G745" t="s">
        <v>213</v>
      </c>
      <c r="H745">
        <v>3</v>
      </c>
      <c r="I745">
        <v>15000</v>
      </c>
      <c r="J745">
        <v>10</v>
      </c>
      <c r="K745">
        <v>4500</v>
      </c>
      <c r="L745">
        <v>40500</v>
      </c>
      <c r="M745">
        <v>9159.58</v>
      </c>
      <c r="N745" t="s">
        <v>34</v>
      </c>
      <c r="O745" t="s">
        <v>35</v>
      </c>
      <c r="P745" t="str">
        <f t="shared" si="22"/>
        <v>High Value</v>
      </c>
      <c r="Q745" t="str">
        <f t="shared" si="23"/>
        <v>High</v>
      </c>
      <c r="R745" t="str" cm="1">
        <f t="array" ref="R745">_xlfn.IFS(L745&gt;50000,"Premium",L745&gt;20000,"High",L745&gt;5000,"Medium",TRUE,"Low")</f>
        <v>High</v>
      </c>
    </row>
    <row r="746" spans="1:18" x14ac:dyDescent="0.3">
      <c r="A746" t="s">
        <v>1547</v>
      </c>
      <c r="B746" s="1">
        <v>45035</v>
      </c>
      <c r="C746" t="s">
        <v>1227</v>
      </c>
      <c r="D746" t="s">
        <v>652</v>
      </c>
      <c r="E746" t="s">
        <v>59</v>
      </c>
      <c r="F746" t="s">
        <v>69</v>
      </c>
      <c r="G746" t="s">
        <v>505</v>
      </c>
      <c r="H746">
        <v>5</v>
      </c>
      <c r="I746">
        <v>499</v>
      </c>
      <c r="J746">
        <v>10</v>
      </c>
      <c r="K746">
        <v>249.5</v>
      </c>
      <c r="L746">
        <v>2245.5</v>
      </c>
      <c r="M746">
        <v>699.44</v>
      </c>
      <c r="N746" t="s">
        <v>99</v>
      </c>
      <c r="O746" t="s">
        <v>22</v>
      </c>
      <c r="P746" t="str">
        <f t="shared" si="22"/>
        <v>Low Value</v>
      </c>
      <c r="Q746" t="str">
        <f t="shared" si="23"/>
        <v>Low</v>
      </c>
      <c r="R746" t="str" cm="1">
        <f t="array" ref="R746">_xlfn.IFS(L746&gt;50000,"Premium",L746&gt;20000,"High",L746&gt;5000,"Medium",TRUE,"Low")</f>
        <v>Low</v>
      </c>
    </row>
    <row r="747" spans="1:18" x14ac:dyDescent="0.3">
      <c r="A747" t="s">
        <v>1548</v>
      </c>
      <c r="B747" s="1">
        <v>44986</v>
      </c>
      <c r="C747" t="s">
        <v>936</v>
      </c>
      <c r="D747" t="s">
        <v>674</v>
      </c>
      <c r="E747" t="s">
        <v>78</v>
      </c>
      <c r="F747" t="s">
        <v>19</v>
      </c>
      <c r="G747" t="s">
        <v>65</v>
      </c>
      <c r="H747">
        <v>4</v>
      </c>
      <c r="I747">
        <v>55000</v>
      </c>
      <c r="J747">
        <v>15</v>
      </c>
      <c r="K747">
        <v>33000</v>
      </c>
      <c r="L747">
        <v>187000</v>
      </c>
      <c r="M747">
        <v>48160.33</v>
      </c>
      <c r="N747" t="s">
        <v>21</v>
      </c>
      <c r="O747" t="s">
        <v>95</v>
      </c>
      <c r="P747" t="str">
        <f t="shared" si="22"/>
        <v>High Value</v>
      </c>
      <c r="Q747" t="str">
        <f t="shared" si="23"/>
        <v>Premium</v>
      </c>
      <c r="R747" t="str" cm="1">
        <f t="array" ref="R747">_xlfn.IFS(L747&gt;50000,"Premium",L747&gt;20000,"High",L747&gt;5000,"Medium",TRUE,"Low")</f>
        <v>Premium</v>
      </c>
    </row>
    <row r="748" spans="1:18" x14ac:dyDescent="0.3">
      <c r="A748" t="s">
        <v>1549</v>
      </c>
      <c r="B748" s="1">
        <v>45111</v>
      </c>
      <c r="C748" t="s">
        <v>766</v>
      </c>
      <c r="D748" t="s">
        <v>1550</v>
      </c>
      <c r="E748" t="s">
        <v>18</v>
      </c>
      <c r="F748" t="s">
        <v>60</v>
      </c>
      <c r="G748" t="s">
        <v>115</v>
      </c>
      <c r="H748">
        <v>4</v>
      </c>
      <c r="I748">
        <v>1800</v>
      </c>
      <c r="J748">
        <v>10</v>
      </c>
      <c r="K748">
        <v>720</v>
      </c>
      <c r="L748">
        <v>6480</v>
      </c>
      <c r="M748">
        <v>494.36</v>
      </c>
      <c r="N748" t="s">
        <v>99</v>
      </c>
      <c r="O748" t="s">
        <v>35</v>
      </c>
      <c r="P748" t="str">
        <f t="shared" si="22"/>
        <v>Low Value</v>
      </c>
      <c r="Q748" t="str">
        <f t="shared" si="23"/>
        <v>Medium</v>
      </c>
      <c r="R748" t="str" cm="1">
        <f t="array" ref="R748">_xlfn.IFS(L748&gt;50000,"Premium",L748&gt;20000,"High",L748&gt;5000,"Medium",TRUE,"Low")</f>
        <v>Medium</v>
      </c>
    </row>
    <row r="749" spans="1:18" x14ac:dyDescent="0.3">
      <c r="A749" t="s">
        <v>1551</v>
      </c>
      <c r="B749" s="1">
        <v>44940</v>
      </c>
      <c r="C749" t="s">
        <v>671</v>
      </c>
      <c r="D749" t="s">
        <v>25</v>
      </c>
      <c r="E749" t="s">
        <v>18</v>
      </c>
      <c r="F749" t="s">
        <v>69</v>
      </c>
      <c r="G749" t="s">
        <v>119</v>
      </c>
      <c r="H749">
        <v>2</v>
      </c>
      <c r="I749">
        <v>2500</v>
      </c>
      <c r="J749">
        <v>25</v>
      </c>
      <c r="K749">
        <v>1250</v>
      </c>
      <c r="L749">
        <v>3750</v>
      </c>
      <c r="M749">
        <v>459.5</v>
      </c>
      <c r="N749" t="s">
        <v>34</v>
      </c>
      <c r="O749" t="s">
        <v>22</v>
      </c>
      <c r="P749" t="str">
        <f t="shared" si="22"/>
        <v>Low Value</v>
      </c>
      <c r="Q749" t="str">
        <f t="shared" si="23"/>
        <v>Low</v>
      </c>
      <c r="R749" t="str" cm="1">
        <f t="array" ref="R749">_xlfn.IFS(L749&gt;50000,"Premium",L749&gt;20000,"High",L749&gt;5000,"Medium",TRUE,"Low")</f>
        <v>Low</v>
      </c>
    </row>
    <row r="750" spans="1:18" x14ac:dyDescent="0.3">
      <c r="A750" t="s">
        <v>1552</v>
      </c>
      <c r="B750" s="1">
        <v>45002</v>
      </c>
      <c r="C750" t="s">
        <v>72</v>
      </c>
      <c r="D750" t="s">
        <v>750</v>
      </c>
      <c r="E750" t="s">
        <v>54</v>
      </c>
      <c r="F750" t="s">
        <v>39</v>
      </c>
      <c r="G750" t="s">
        <v>219</v>
      </c>
      <c r="H750">
        <v>1</v>
      </c>
      <c r="I750">
        <v>18000</v>
      </c>
      <c r="J750">
        <v>0</v>
      </c>
      <c r="K750">
        <v>0</v>
      </c>
      <c r="L750">
        <v>18000</v>
      </c>
      <c r="M750">
        <v>1796.97</v>
      </c>
      <c r="N750" t="s">
        <v>99</v>
      </c>
      <c r="O750" t="s">
        <v>22</v>
      </c>
      <c r="P750" t="str">
        <f t="shared" si="22"/>
        <v>Low Value</v>
      </c>
      <c r="Q750" t="str">
        <f t="shared" si="23"/>
        <v>Medium</v>
      </c>
      <c r="R750" t="str" cm="1">
        <f t="array" ref="R750">_xlfn.IFS(L750&gt;50000,"Premium",L750&gt;20000,"High",L750&gt;5000,"Medium",TRUE,"Low")</f>
        <v>Medium</v>
      </c>
    </row>
    <row r="751" spans="1:18" x14ac:dyDescent="0.3">
      <c r="A751" t="s">
        <v>1553</v>
      </c>
      <c r="B751" s="1">
        <v>45226</v>
      </c>
      <c r="C751" t="s">
        <v>1554</v>
      </c>
      <c r="D751" t="s">
        <v>1357</v>
      </c>
      <c r="E751" t="s">
        <v>59</v>
      </c>
      <c r="F751" t="s">
        <v>69</v>
      </c>
      <c r="G751" t="s">
        <v>202</v>
      </c>
      <c r="H751">
        <v>3</v>
      </c>
      <c r="I751">
        <v>1299</v>
      </c>
      <c r="J751">
        <v>20</v>
      </c>
      <c r="K751">
        <v>779.4</v>
      </c>
      <c r="L751">
        <v>3117.6</v>
      </c>
      <c r="M751">
        <v>931.65</v>
      </c>
      <c r="N751" t="s">
        <v>99</v>
      </c>
      <c r="O751" t="s">
        <v>22</v>
      </c>
      <c r="P751" t="str">
        <f t="shared" si="22"/>
        <v>Low Value</v>
      </c>
      <c r="Q751" t="str">
        <f t="shared" si="23"/>
        <v>Low</v>
      </c>
      <c r="R751" t="str" cm="1">
        <f t="array" ref="R751">_xlfn.IFS(L751&gt;50000,"Premium",L751&gt;20000,"High",L751&gt;5000,"Medium",TRUE,"Low")</f>
        <v>Low</v>
      </c>
    </row>
    <row r="752" spans="1:18" x14ac:dyDescent="0.3">
      <c r="A752" t="s">
        <v>1555</v>
      </c>
      <c r="B752" s="1">
        <v>45139</v>
      </c>
      <c r="C752" t="s">
        <v>642</v>
      </c>
      <c r="D752" t="s">
        <v>1385</v>
      </c>
      <c r="E752" t="s">
        <v>26</v>
      </c>
      <c r="F752" t="s">
        <v>49</v>
      </c>
      <c r="G752" t="s">
        <v>603</v>
      </c>
      <c r="H752">
        <v>5</v>
      </c>
      <c r="I752">
        <v>449</v>
      </c>
      <c r="J752">
        <v>20</v>
      </c>
      <c r="K752">
        <v>449</v>
      </c>
      <c r="L752">
        <v>1796</v>
      </c>
      <c r="M752">
        <v>483.71</v>
      </c>
      <c r="N752" t="s">
        <v>41</v>
      </c>
      <c r="O752" t="s">
        <v>95</v>
      </c>
      <c r="P752" t="str">
        <f t="shared" si="22"/>
        <v>Low Value</v>
      </c>
      <c r="Q752" t="str">
        <f t="shared" si="23"/>
        <v>Low</v>
      </c>
      <c r="R752" t="str" cm="1">
        <f t="array" ref="R752">_xlfn.IFS(L752&gt;50000,"Premium",L752&gt;20000,"High",L752&gt;5000,"Medium",TRUE,"Low")</f>
        <v>Low</v>
      </c>
    </row>
    <row r="753" spans="1:18" x14ac:dyDescent="0.3">
      <c r="A753" t="s">
        <v>1556</v>
      </c>
      <c r="B753" s="1">
        <v>45229</v>
      </c>
      <c r="C753" t="s">
        <v>621</v>
      </c>
      <c r="D753" t="s">
        <v>1557</v>
      </c>
      <c r="E753" t="s">
        <v>48</v>
      </c>
      <c r="F753" t="s">
        <v>60</v>
      </c>
      <c r="G753" t="s">
        <v>61</v>
      </c>
      <c r="H753">
        <v>4</v>
      </c>
      <c r="I753">
        <v>850</v>
      </c>
      <c r="J753">
        <v>5</v>
      </c>
      <c r="K753">
        <v>170</v>
      </c>
      <c r="L753">
        <v>3230</v>
      </c>
      <c r="M753">
        <v>853.65</v>
      </c>
      <c r="N753" t="s">
        <v>21</v>
      </c>
      <c r="O753" t="s">
        <v>35</v>
      </c>
      <c r="P753" t="str">
        <f t="shared" si="22"/>
        <v>Low Value</v>
      </c>
      <c r="Q753" t="str">
        <f t="shared" si="23"/>
        <v>Low</v>
      </c>
      <c r="R753" t="str" cm="1">
        <f t="array" ref="R753">_xlfn.IFS(L753&gt;50000,"Premium",L753&gt;20000,"High",L753&gt;5000,"Medium",TRUE,"Low")</f>
        <v>Low</v>
      </c>
    </row>
    <row r="754" spans="1:18" x14ac:dyDescent="0.3">
      <c r="A754" t="s">
        <v>1558</v>
      </c>
      <c r="B754" s="1">
        <v>45064</v>
      </c>
      <c r="C754" t="s">
        <v>1052</v>
      </c>
      <c r="D754" t="s">
        <v>98</v>
      </c>
      <c r="E754" t="s">
        <v>26</v>
      </c>
      <c r="F754" t="s">
        <v>60</v>
      </c>
      <c r="G754" t="s">
        <v>365</v>
      </c>
      <c r="H754">
        <v>4</v>
      </c>
      <c r="I754">
        <v>650</v>
      </c>
      <c r="J754">
        <v>0</v>
      </c>
      <c r="K754">
        <v>0</v>
      </c>
      <c r="L754">
        <v>2600</v>
      </c>
      <c r="M754">
        <v>515.94000000000005</v>
      </c>
      <c r="N754" t="s">
        <v>99</v>
      </c>
      <c r="O754" t="s">
        <v>35</v>
      </c>
      <c r="P754" t="str">
        <f t="shared" si="22"/>
        <v>Low Value</v>
      </c>
      <c r="Q754" t="str">
        <f t="shared" si="23"/>
        <v>Low</v>
      </c>
      <c r="R754" t="str" cm="1">
        <f t="array" ref="R754">_xlfn.IFS(L754&gt;50000,"Premium",L754&gt;20000,"High",L754&gt;5000,"Medium",TRUE,"Low")</f>
        <v>Low</v>
      </c>
    </row>
    <row r="755" spans="1:18" x14ac:dyDescent="0.3">
      <c r="A755" t="s">
        <v>1559</v>
      </c>
      <c r="B755" s="1">
        <v>45074</v>
      </c>
      <c r="C755" t="s">
        <v>143</v>
      </c>
      <c r="D755" t="s">
        <v>643</v>
      </c>
      <c r="E755" t="s">
        <v>48</v>
      </c>
      <c r="F755" t="s">
        <v>60</v>
      </c>
      <c r="G755" t="s">
        <v>165</v>
      </c>
      <c r="H755">
        <v>4</v>
      </c>
      <c r="I755">
        <v>300</v>
      </c>
      <c r="J755">
        <v>10</v>
      </c>
      <c r="K755">
        <v>120</v>
      </c>
      <c r="L755">
        <v>1080</v>
      </c>
      <c r="M755">
        <v>195.95</v>
      </c>
      <c r="N755" t="s">
        <v>21</v>
      </c>
      <c r="O755" t="s">
        <v>22</v>
      </c>
      <c r="P755" t="str">
        <f t="shared" si="22"/>
        <v>Low Value</v>
      </c>
      <c r="Q755" t="str">
        <f t="shared" si="23"/>
        <v>Low</v>
      </c>
      <c r="R755" t="str" cm="1">
        <f t="array" ref="R755">_xlfn.IFS(L755&gt;50000,"Premium",L755&gt;20000,"High",L755&gt;5000,"Medium",TRUE,"Low")</f>
        <v>Low</v>
      </c>
    </row>
    <row r="756" spans="1:18" x14ac:dyDescent="0.3">
      <c r="A756" t="s">
        <v>1560</v>
      </c>
      <c r="B756" s="1">
        <v>44994</v>
      </c>
      <c r="C756" t="s">
        <v>1001</v>
      </c>
      <c r="D756" t="s">
        <v>1435</v>
      </c>
      <c r="E756" t="s">
        <v>83</v>
      </c>
      <c r="F756" t="s">
        <v>32</v>
      </c>
      <c r="G756" t="s">
        <v>55</v>
      </c>
      <c r="H756">
        <v>4</v>
      </c>
      <c r="I756">
        <v>250</v>
      </c>
      <c r="J756">
        <v>15</v>
      </c>
      <c r="K756">
        <v>150</v>
      </c>
      <c r="L756">
        <v>850</v>
      </c>
      <c r="M756">
        <v>254.94</v>
      </c>
      <c r="N756" t="s">
        <v>21</v>
      </c>
      <c r="O756" t="s">
        <v>35</v>
      </c>
      <c r="P756" t="str">
        <f t="shared" si="22"/>
        <v>Low Value</v>
      </c>
      <c r="Q756" t="str">
        <f t="shared" si="23"/>
        <v>Low</v>
      </c>
      <c r="R756" t="str" cm="1">
        <f t="array" ref="R756">_xlfn.IFS(L756&gt;50000,"Premium",L756&gt;20000,"High",L756&gt;5000,"Medium",TRUE,"Low")</f>
        <v>Low</v>
      </c>
    </row>
    <row r="757" spans="1:18" x14ac:dyDescent="0.3">
      <c r="A757" t="s">
        <v>1561</v>
      </c>
      <c r="B757" s="1">
        <v>45071</v>
      </c>
      <c r="C757" t="s">
        <v>899</v>
      </c>
      <c r="D757" t="s">
        <v>878</v>
      </c>
      <c r="E757" t="s">
        <v>54</v>
      </c>
      <c r="F757" t="s">
        <v>60</v>
      </c>
      <c r="G757" t="s">
        <v>115</v>
      </c>
      <c r="H757">
        <v>1</v>
      </c>
      <c r="I757">
        <v>1800</v>
      </c>
      <c r="J757">
        <v>25</v>
      </c>
      <c r="K757">
        <v>450</v>
      </c>
      <c r="L757">
        <v>1350</v>
      </c>
      <c r="M757">
        <v>263.07</v>
      </c>
      <c r="N757" t="s">
        <v>99</v>
      </c>
      <c r="O757" t="s">
        <v>22</v>
      </c>
      <c r="P757" t="str">
        <f t="shared" si="22"/>
        <v>Low Value</v>
      </c>
      <c r="Q757" t="str">
        <f t="shared" si="23"/>
        <v>Low</v>
      </c>
      <c r="R757" t="str" cm="1">
        <f t="array" ref="R757">_xlfn.IFS(L757&gt;50000,"Premium",L757&gt;20000,"High",L757&gt;5000,"Medium",TRUE,"Low")</f>
        <v>Low</v>
      </c>
    </row>
    <row r="758" spans="1:18" x14ac:dyDescent="0.3">
      <c r="A758" t="s">
        <v>1562</v>
      </c>
      <c r="B758" s="1">
        <v>45179</v>
      </c>
      <c r="C758" t="s">
        <v>1563</v>
      </c>
      <c r="D758" t="s">
        <v>1564</v>
      </c>
      <c r="E758" t="s">
        <v>48</v>
      </c>
      <c r="F758" t="s">
        <v>32</v>
      </c>
      <c r="G758" t="s">
        <v>148</v>
      </c>
      <c r="H758">
        <v>2</v>
      </c>
      <c r="I758">
        <v>120</v>
      </c>
      <c r="J758">
        <v>20</v>
      </c>
      <c r="K758">
        <v>48</v>
      </c>
      <c r="L758">
        <v>192</v>
      </c>
      <c r="M758">
        <v>12.31</v>
      </c>
      <c r="N758" t="s">
        <v>27</v>
      </c>
      <c r="O758" t="s">
        <v>35</v>
      </c>
      <c r="P758" t="str">
        <f t="shared" si="22"/>
        <v>Low Value</v>
      </c>
      <c r="Q758" t="str">
        <f t="shared" si="23"/>
        <v>Low</v>
      </c>
      <c r="R758" t="str" cm="1">
        <f t="array" ref="R758">_xlfn.IFS(L758&gt;50000,"Premium",L758&gt;20000,"High",L758&gt;5000,"Medium",TRUE,"Low")</f>
        <v>Low</v>
      </c>
    </row>
    <row r="759" spans="1:18" x14ac:dyDescent="0.3">
      <c r="A759" t="s">
        <v>1565</v>
      </c>
      <c r="B759" s="1">
        <v>45184</v>
      </c>
      <c r="C759" t="s">
        <v>424</v>
      </c>
      <c r="D759" t="s">
        <v>1566</v>
      </c>
      <c r="E759" t="s">
        <v>31</v>
      </c>
      <c r="F759" t="s">
        <v>19</v>
      </c>
      <c r="G759" t="s">
        <v>107</v>
      </c>
      <c r="H759">
        <v>1</v>
      </c>
      <c r="I759">
        <v>4500</v>
      </c>
      <c r="J759">
        <v>10</v>
      </c>
      <c r="K759">
        <v>450</v>
      </c>
      <c r="L759">
        <v>4050</v>
      </c>
      <c r="M759">
        <v>725.7</v>
      </c>
      <c r="N759" t="s">
        <v>41</v>
      </c>
      <c r="O759" t="s">
        <v>35</v>
      </c>
      <c r="P759" t="str">
        <f t="shared" si="22"/>
        <v>Low Value</v>
      </c>
      <c r="Q759" t="str">
        <f t="shared" si="23"/>
        <v>Low</v>
      </c>
      <c r="R759" t="str" cm="1">
        <f t="array" ref="R759">_xlfn.IFS(L759&gt;50000,"Premium",L759&gt;20000,"High",L759&gt;5000,"Medium",TRUE,"Low")</f>
        <v>Low</v>
      </c>
    </row>
    <row r="760" spans="1:18" x14ac:dyDescent="0.3">
      <c r="A760" t="s">
        <v>1567</v>
      </c>
      <c r="B760" s="1">
        <v>45101</v>
      </c>
      <c r="C760" t="s">
        <v>1568</v>
      </c>
      <c r="D760" t="s">
        <v>582</v>
      </c>
      <c r="E760" t="s">
        <v>18</v>
      </c>
      <c r="F760" t="s">
        <v>49</v>
      </c>
      <c r="G760" t="s">
        <v>161</v>
      </c>
      <c r="H760">
        <v>1</v>
      </c>
      <c r="I760">
        <v>599</v>
      </c>
      <c r="J760">
        <v>20</v>
      </c>
      <c r="K760">
        <v>119.8</v>
      </c>
      <c r="L760">
        <v>479.2</v>
      </c>
      <c r="M760">
        <v>62.41</v>
      </c>
      <c r="N760" t="s">
        <v>99</v>
      </c>
      <c r="O760" t="s">
        <v>22</v>
      </c>
      <c r="P760" t="str">
        <f t="shared" si="22"/>
        <v>Low Value</v>
      </c>
      <c r="Q760" t="str">
        <f t="shared" si="23"/>
        <v>Low</v>
      </c>
      <c r="R760" t="str" cm="1">
        <f t="array" ref="R760">_xlfn.IFS(L760&gt;50000,"Premium",L760&gt;20000,"High",L760&gt;5000,"Medium",TRUE,"Low")</f>
        <v>Low</v>
      </c>
    </row>
    <row r="761" spans="1:18" x14ac:dyDescent="0.3">
      <c r="A761" t="s">
        <v>1569</v>
      </c>
      <c r="B761" s="1">
        <v>45161</v>
      </c>
      <c r="C761" t="s">
        <v>1255</v>
      </c>
      <c r="D761" t="s">
        <v>17</v>
      </c>
      <c r="E761" t="s">
        <v>59</v>
      </c>
      <c r="F761" t="s">
        <v>49</v>
      </c>
      <c r="G761" t="s">
        <v>753</v>
      </c>
      <c r="H761">
        <v>1</v>
      </c>
      <c r="I761">
        <v>299</v>
      </c>
      <c r="J761">
        <v>0</v>
      </c>
      <c r="K761">
        <v>0</v>
      </c>
      <c r="L761">
        <v>299</v>
      </c>
      <c r="M761">
        <v>85.06</v>
      </c>
      <c r="N761" t="s">
        <v>21</v>
      </c>
      <c r="O761" t="s">
        <v>35</v>
      </c>
      <c r="P761" t="str">
        <f t="shared" si="22"/>
        <v>Low Value</v>
      </c>
      <c r="Q761" t="str">
        <f t="shared" si="23"/>
        <v>Low</v>
      </c>
      <c r="R761" t="str" cm="1">
        <f t="array" ref="R761">_xlfn.IFS(L761&gt;50000,"Premium",L761&gt;20000,"High",L761&gt;5000,"Medium",TRUE,"Low")</f>
        <v>Low</v>
      </c>
    </row>
    <row r="762" spans="1:18" x14ac:dyDescent="0.3">
      <c r="A762" t="s">
        <v>1570</v>
      </c>
      <c r="B762" s="1">
        <v>45012</v>
      </c>
      <c r="C762" t="s">
        <v>1571</v>
      </c>
      <c r="D762" t="s">
        <v>1047</v>
      </c>
      <c r="E762" t="s">
        <v>54</v>
      </c>
      <c r="F762" t="s">
        <v>60</v>
      </c>
      <c r="G762" t="s">
        <v>291</v>
      </c>
      <c r="H762">
        <v>2</v>
      </c>
      <c r="I762">
        <v>450</v>
      </c>
      <c r="J762">
        <v>10</v>
      </c>
      <c r="K762">
        <v>90</v>
      </c>
      <c r="L762">
        <v>810</v>
      </c>
      <c r="M762">
        <v>78.66</v>
      </c>
      <c r="N762" t="s">
        <v>99</v>
      </c>
      <c r="O762" t="s">
        <v>35</v>
      </c>
      <c r="P762" t="str">
        <f t="shared" si="22"/>
        <v>Low Value</v>
      </c>
      <c r="Q762" t="str">
        <f t="shared" si="23"/>
        <v>Low</v>
      </c>
      <c r="R762" t="str" cm="1">
        <f t="array" ref="R762">_xlfn.IFS(L762&gt;50000,"Premium",L762&gt;20000,"High",L762&gt;5000,"Medium",TRUE,"Low")</f>
        <v>Low</v>
      </c>
    </row>
    <row r="763" spans="1:18" x14ac:dyDescent="0.3">
      <c r="A763" t="s">
        <v>1572</v>
      </c>
      <c r="B763" s="1">
        <v>45258</v>
      </c>
      <c r="C763" t="s">
        <v>520</v>
      </c>
      <c r="D763" t="s">
        <v>1066</v>
      </c>
      <c r="E763" t="s">
        <v>31</v>
      </c>
      <c r="F763" t="s">
        <v>32</v>
      </c>
      <c r="G763" t="s">
        <v>309</v>
      </c>
      <c r="H763">
        <v>2</v>
      </c>
      <c r="I763">
        <v>180</v>
      </c>
      <c r="J763">
        <v>0</v>
      </c>
      <c r="K763">
        <v>0</v>
      </c>
      <c r="L763">
        <v>360</v>
      </c>
      <c r="M763">
        <v>109.65</v>
      </c>
      <c r="N763" t="s">
        <v>41</v>
      </c>
      <c r="O763" t="s">
        <v>35</v>
      </c>
      <c r="P763" t="str">
        <f t="shared" si="22"/>
        <v>Low Value</v>
      </c>
      <c r="Q763" t="str">
        <f t="shared" si="23"/>
        <v>Low</v>
      </c>
      <c r="R763" t="str" cm="1">
        <f t="array" ref="R763">_xlfn.IFS(L763&gt;50000,"Premium",L763&gt;20000,"High",L763&gt;5000,"Medium",TRUE,"Low")</f>
        <v>Low</v>
      </c>
    </row>
    <row r="764" spans="1:18" x14ac:dyDescent="0.3">
      <c r="A764" t="s">
        <v>1573</v>
      </c>
      <c r="B764" s="1">
        <v>45073</v>
      </c>
      <c r="C764" t="s">
        <v>1291</v>
      </c>
      <c r="D764" t="s">
        <v>110</v>
      </c>
      <c r="E764" t="s">
        <v>31</v>
      </c>
      <c r="F764" t="s">
        <v>74</v>
      </c>
      <c r="G764" t="s">
        <v>381</v>
      </c>
      <c r="H764">
        <v>1</v>
      </c>
      <c r="I764">
        <v>800</v>
      </c>
      <c r="J764">
        <v>10</v>
      </c>
      <c r="K764">
        <v>80</v>
      </c>
      <c r="L764">
        <v>720</v>
      </c>
      <c r="M764">
        <v>116.45</v>
      </c>
      <c r="N764" t="s">
        <v>27</v>
      </c>
      <c r="O764" t="s">
        <v>95</v>
      </c>
      <c r="P764" t="str">
        <f t="shared" si="22"/>
        <v>Low Value</v>
      </c>
      <c r="Q764" t="str">
        <f t="shared" si="23"/>
        <v>Low</v>
      </c>
      <c r="R764" t="str" cm="1">
        <f t="array" ref="R764">_xlfn.IFS(L764&gt;50000,"Premium",L764&gt;20000,"High",L764&gt;5000,"Medium",TRUE,"Low")</f>
        <v>Low</v>
      </c>
    </row>
    <row r="765" spans="1:18" x14ac:dyDescent="0.3">
      <c r="A765" t="s">
        <v>1574</v>
      </c>
      <c r="B765" s="1">
        <v>45142</v>
      </c>
      <c r="C765" t="s">
        <v>537</v>
      </c>
      <c r="D765" t="s">
        <v>1047</v>
      </c>
      <c r="E765" t="s">
        <v>48</v>
      </c>
      <c r="F765" t="s">
        <v>49</v>
      </c>
      <c r="G765" t="s">
        <v>94</v>
      </c>
      <c r="H765">
        <v>2</v>
      </c>
      <c r="I765">
        <v>399</v>
      </c>
      <c r="J765">
        <v>15</v>
      </c>
      <c r="K765">
        <v>119.7</v>
      </c>
      <c r="L765">
        <v>678.3</v>
      </c>
      <c r="M765">
        <v>118.04</v>
      </c>
      <c r="N765" t="s">
        <v>99</v>
      </c>
      <c r="O765" t="s">
        <v>22</v>
      </c>
      <c r="P765" t="str">
        <f t="shared" si="22"/>
        <v>Low Value</v>
      </c>
      <c r="Q765" t="str">
        <f t="shared" si="23"/>
        <v>Low</v>
      </c>
      <c r="R765" t="str" cm="1">
        <f t="array" ref="R765">_xlfn.IFS(L765&gt;50000,"Premium",L765&gt;20000,"High",L765&gt;5000,"Medium",TRUE,"Low")</f>
        <v>Low</v>
      </c>
    </row>
    <row r="766" spans="1:18" x14ac:dyDescent="0.3">
      <c r="A766" t="s">
        <v>1575</v>
      </c>
      <c r="B766" s="1">
        <v>45001</v>
      </c>
      <c r="C766" t="s">
        <v>1463</v>
      </c>
      <c r="D766" t="s">
        <v>225</v>
      </c>
      <c r="E766" t="s">
        <v>26</v>
      </c>
      <c r="F766" t="s">
        <v>49</v>
      </c>
      <c r="G766" t="s">
        <v>50</v>
      </c>
      <c r="H766">
        <v>5</v>
      </c>
      <c r="I766">
        <v>499</v>
      </c>
      <c r="J766">
        <v>0</v>
      </c>
      <c r="K766">
        <v>0</v>
      </c>
      <c r="L766">
        <v>2495</v>
      </c>
      <c r="M766">
        <v>188.21</v>
      </c>
      <c r="N766" t="s">
        <v>99</v>
      </c>
      <c r="O766" t="s">
        <v>22</v>
      </c>
      <c r="P766" t="str">
        <f t="shared" si="22"/>
        <v>Low Value</v>
      </c>
      <c r="Q766" t="str">
        <f t="shared" si="23"/>
        <v>Low</v>
      </c>
      <c r="R766" t="str" cm="1">
        <f t="array" ref="R766">_xlfn.IFS(L766&gt;50000,"Premium",L766&gt;20000,"High",L766&gt;5000,"Medium",TRUE,"Low")</f>
        <v>Low</v>
      </c>
    </row>
    <row r="767" spans="1:18" x14ac:dyDescent="0.3">
      <c r="A767" t="s">
        <v>1576</v>
      </c>
      <c r="B767" s="1">
        <v>44945</v>
      </c>
      <c r="C767" t="s">
        <v>1196</v>
      </c>
      <c r="D767" t="s">
        <v>999</v>
      </c>
      <c r="E767" t="s">
        <v>26</v>
      </c>
      <c r="F767" t="s">
        <v>60</v>
      </c>
      <c r="G767" t="s">
        <v>115</v>
      </c>
      <c r="H767">
        <v>2</v>
      </c>
      <c r="I767">
        <v>1800</v>
      </c>
      <c r="J767">
        <v>20</v>
      </c>
      <c r="K767">
        <v>720</v>
      </c>
      <c r="L767">
        <v>2880</v>
      </c>
      <c r="M767">
        <v>193.95</v>
      </c>
      <c r="N767" t="s">
        <v>41</v>
      </c>
      <c r="O767" t="s">
        <v>95</v>
      </c>
      <c r="P767" t="str">
        <f t="shared" si="22"/>
        <v>Low Value</v>
      </c>
      <c r="Q767" t="str">
        <f t="shared" si="23"/>
        <v>Low</v>
      </c>
      <c r="R767" t="str" cm="1">
        <f t="array" ref="R767">_xlfn.IFS(L767&gt;50000,"Premium",L767&gt;20000,"High",L767&gt;5000,"Medium",TRUE,"Low")</f>
        <v>Low</v>
      </c>
    </row>
    <row r="768" spans="1:18" x14ac:dyDescent="0.3">
      <c r="A768" t="s">
        <v>1577</v>
      </c>
      <c r="B768" s="1">
        <v>45082</v>
      </c>
      <c r="C768" t="s">
        <v>1122</v>
      </c>
      <c r="D768" t="s">
        <v>582</v>
      </c>
      <c r="E768" t="s">
        <v>83</v>
      </c>
      <c r="F768" t="s">
        <v>60</v>
      </c>
      <c r="G768" t="s">
        <v>115</v>
      </c>
      <c r="H768">
        <v>3</v>
      </c>
      <c r="I768">
        <v>1800</v>
      </c>
      <c r="J768">
        <v>10</v>
      </c>
      <c r="K768">
        <v>540</v>
      </c>
      <c r="L768">
        <v>4860</v>
      </c>
      <c r="M768">
        <v>254.52</v>
      </c>
      <c r="N768" t="s">
        <v>41</v>
      </c>
      <c r="O768" t="s">
        <v>22</v>
      </c>
      <c r="P768" t="str">
        <f t="shared" si="22"/>
        <v>Low Value</v>
      </c>
      <c r="Q768" t="str">
        <f t="shared" si="23"/>
        <v>Low</v>
      </c>
      <c r="R768" t="str" cm="1">
        <f t="array" ref="R768">_xlfn.IFS(L768&gt;50000,"Premium",L768&gt;20000,"High",L768&gt;5000,"Medium",TRUE,"Low")</f>
        <v>Low</v>
      </c>
    </row>
    <row r="769" spans="1:18" x14ac:dyDescent="0.3">
      <c r="A769" t="s">
        <v>1578</v>
      </c>
      <c r="B769" s="1">
        <v>45256</v>
      </c>
      <c r="C769" t="s">
        <v>1579</v>
      </c>
      <c r="D769" t="s">
        <v>562</v>
      </c>
      <c r="E769" t="s">
        <v>31</v>
      </c>
      <c r="F769" t="s">
        <v>69</v>
      </c>
      <c r="G769" t="s">
        <v>243</v>
      </c>
      <c r="H769">
        <v>5</v>
      </c>
      <c r="I769">
        <v>1999</v>
      </c>
      <c r="J769">
        <v>20</v>
      </c>
      <c r="K769">
        <v>1999</v>
      </c>
      <c r="L769">
        <v>7996</v>
      </c>
      <c r="M769">
        <v>1963.91</v>
      </c>
      <c r="N769" t="s">
        <v>34</v>
      </c>
      <c r="O769" t="s">
        <v>35</v>
      </c>
      <c r="P769" t="str">
        <f t="shared" si="22"/>
        <v>Low Value</v>
      </c>
      <c r="Q769" t="str">
        <f t="shared" si="23"/>
        <v>Medium</v>
      </c>
      <c r="R769" t="str" cm="1">
        <f t="array" ref="R769">_xlfn.IFS(L769&gt;50000,"Premium",L769&gt;20000,"High",L769&gt;5000,"Medium",TRUE,"Low")</f>
        <v>Medium</v>
      </c>
    </row>
    <row r="770" spans="1:18" x14ac:dyDescent="0.3">
      <c r="A770" t="s">
        <v>1580</v>
      </c>
      <c r="B770" s="1">
        <v>44945</v>
      </c>
      <c r="C770" t="s">
        <v>261</v>
      </c>
      <c r="D770" t="s">
        <v>1320</v>
      </c>
      <c r="E770" t="s">
        <v>78</v>
      </c>
      <c r="F770" t="s">
        <v>74</v>
      </c>
      <c r="G770" t="s">
        <v>341</v>
      </c>
      <c r="H770">
        <v>4</v>
      </c>
      <c r="I770">
        <v>700</v>
      </c>
      <c r="J770">
        <v>25</v>
      </c>
      <c r="K770">
        <v>700</v>
      </c>
      <c r="L770">
        <v>2100</v>
      </c>
      <c r="M770">
        <v>557.89</v>
      </c>
      <c r="N770" t="s">
        <v>27</v>
      </c>
      <c r="O770" t="s">
        <v>35</v>
      </c>
      <c r="P770" t="str">
        <f t="shared" si="22"/>
        <v>Low Value</v>
      </c>
      <c r="Q770" t="str">
        <f t="shared" si="23"/>
        <v>Low</v>
      </c>
      <c r="R770" t="str" cm="1">
        <f t="array" ref="R770">_xlfn.IFS(L770&gt;50000,"Premium",L770&gt;20000,"High",L770&gt;5000,"Medium",TRUE,"Low")</f>
        <v>Low</v>
      </c>
    </row>
    <row r="771" spans="1:18" x14ac:dyDescent="0.3">
      <c r="A771" t="s">
        <v>1581</v>
      </c>
      <c r="B771" s="1">
        <v>45188</v>
      </c>
      <c r="C771" t="s">
        <v>1582</v>
      </c>
      <c r="D771" t="s">
        <v>1583</v>
      </c>
      <c r="E771" t="s">
        <v>78</v>
      </c>
      <c r="F771" t="s">
        <v>74</v>
      </c>
      <c r="G771" t="s">
        <v>341</v>
      </c>
      <c r="H771">
        <v>5</v>
      </c>
      <c r="I771">
        <v>700</v>
      </c>
      <c r="J771">
        <v>10</v>
      </c>
      <c r="K771">
        <v>350</v>
      </c>
      <c r="L771">
        <v>3150</v>
      </c>
      <c r="M771">
        <v>872.91</v>
      </c>
      <c r="N771" t="s">
        <v>27</v>
      </c>
      <c r="O771" t="s">
        <v>35</v>
      </c>
      <c r="P771" t="str">
        <f t="shared" ref="P771:P834" si="24">IF(L771&gt;20000,"High Value","Low Value")</f>
        <v>Low Value</v>
      </c>
      <c r="Q771" t="str">
        <f t="shared" ref="Q771:Q834" si="25">IF(L771&gt;50000,"Premium",IF(L771&gt;20000,"High",IF(L771&gt;5000,"Medium","Low")))</f>
        <v>Low</v>
      </c>
      <c r="R771" t="str" cm="1">
        <f t="array" ref="R771">_xlfn.IFS(L771&gt;50000,"Premium",L771&gt;20000,"High",L771&gt;5000,"Medium",TRUE,"Low")</f>
        <v>Low</v>
      </c>
    </row>
    <row r="772" spans="1:18" x14ac:dyDescent="0.3">
      <c r="A772" t="s">
        <v>1584</v>
      </c>
      <c r="B772" s="1">
        <v>45143</v>
      </c>
      <c r="C772" t="s">
        <v>143</v>
      </c>
      <c r="D772" t="s">
        <v>1585</v>
      </c>
      <c r="E772" t="s">
        <v>59</v>
      </c>
      <c r="F772" t="s">
        <v>74</v>
      </c>
      <c r="G772" t="s">
        <v>137</v>
      </c>
      <c r="H772">
        <v>1</v>
      </c>
      <c r="I772">
        <v>2500</v>
      </c>
      <c r="J772">
        <v>10</v>
      </c>
      <c r="K772">
        <v>250</v>
      </c>
      <c r="L772">
        <v>2250</v>
      </c>
      <c r="M772">
        <v>287.83999999999997</v>
      </c>
      <c r="N772" t="s">
        <v>99</v>
      </c>
      <c r="O772" t="s">
        <v>22</v>
      </c>
      <c r="P772" t="str">
        <f t="shared" si="24"/>
        <v>Low Value</v>
      </c>
      <c r="Q772" t="str">
        <f t="shared" si="25"/>
        <v>Low</v>
      </c>
      <c r="R772" t="str" cm="1">
        <f t="array" ref="R772">_xlfn.IFS(L772&gt;50000,"Premium",L772&gt;20000,"High",L772&gt;5000,"Medium",TRUE,"Low")</f>
        <v>Low</v>
      </c>
    </row>
    <row r="773" spans="1:18" x14ac:dyDescent="0.3">
      <c r="A773" t="s">
        <v>1586</v>
      </c>
      <c r="B773" s="1">
        <v>45079</v>
      </c>
      <c r="C773" t="s">
        <v>485</v>
      </c>
      <c r="D773" t="s">
        <v>577</v>
      </c>
      <c r="E773" t="s">
        <v>31</v>
      </c>
      <c r="F773" t="s">
        <v>74</v>
      </c>
      <c r="G773" t="s">
        <v>192</v>
      </c>
      <c r="H773">
        <v>1</v>
      </c>
      <c r="I773">
        <v>12000</v>
      </c>
      <c r="J773">
        <v>15</v>
      </c>
      <c r="K773">
        <v>1800</v>
      </c>
      <c r="L773">
        <v>10200</v>
      </c>
      <c r="M773">
        <v>1547.28</v>
      </c>
      <c r="N773" t="s">
        <v>34</v>
      </c>
      <c r="O773" t="s">
        <v>35</v>
      </c>
      <c r="P773" t="str">
        <f t="shared" si="24"/>
        <v>Low Value</v>
      </c>
      <c r="Q773" t="str">
        <f t="shared" si="25"/>
        <v>Medium</v>
      </c>
      <c r="R773" t="str" cm="1">
        <f t="array" ref="R773">_xlfn.IFS(L773&gt;50000,"Premium",L773&gt;20000,"High",L773&gt;5000,"Medium",TRUE,"Low")</f>
        <v>Medium</v>
      </c>
    </row>
    <row r="774" spans="1:18" x14ac:dyDescent="0.3">
      <c r="A774" t="s">
        <v>1587</v>
      </c>
      <c r="B774" s="1">
        <v>45072</v>
      </c>
      <c r="C774" t="s">
        <v>1245</v>
      </c>
      <c r="D774" t="s">
        <v>646</v>
      </c>
      <c r="E774" t="s">
        <v>18</v>
      </c>
      <c r="F774" t="s">
        <v>60</v>
      </c>
      <c r="G774" t="s">
        <v>349</v>
      </c>
      <c r="H774">
        <v>5</v>
      </c>
      <c r="I774">
        <v>250</v>
      </c>
      <c r="J774">
        <v>25</v>
      </c>
      <c r="K774">
        <v>312.5</v>
      </c>
      <c r="L774">
        <v>937.5</v>
      </c>
      <c r="M774">
        <v>86.24</v>
      </c>
      <c r="N774" t="s">
        <v>34</v>
      </c>
      <c r="O774" t="s">
        <v>95</v>
      </c>
      <c r="P774" t="str">
        <f t="shared" si="24"/>
        <v>Low Value</v>
      </c>
      <c r="Q774" t="str">
        <f t="shared" si="25"/>
        <v>Low</v>
      </c>
      <c r="R774" t="str" cm="1">
        <f t="array" ref="R774">_xlfn.IFS(L774&gt;50000,"Premium",L774&gt;20000,"High",L774&gt;5000,"Medium",TRUE,"Low")</f>
        <v>Low</v>
      </c>
    </row>
    <row r="775" spans="1:18" x14ac:dyDescent="0.3">
      <c r="A775" t="s">
        <v>1588</v>
      </c>
      <c r="B775" s="1">
        <v>45225</v>
      </c>
      <c r="C775" t="s">
        <v>802</v>
      </c>
      <c r="D775" t="s">
        <v>1302</v>
      </c>
      <c r="E775" t="s">
        <v>18</v>
      </c>
      <c r="F775" t="s">
        <v>69</v>
      </c>
      <c r="G775" t="s">
        <v>111</v>
      </c>
      <c r="H775">
        <v>3</v>
      </c>
      <c r="I775">
        <v>3499</v>
      </c>
      <c r="J775">
        <v>15</v>
      </c>
      <c r="K775">
        <v>1574.55</v>
      </c>
      <c r="L775">
        <v>8922.4500000000007</v>
      </c>
      <c r="M775">
        <v>708.41</v>
      </c>
      <c r="N775" t="s">
        <v>99</v>
      </c>
      <c r="O775" t="s">
        <v>35</v>
      </c>
      <c r="P775" t="str">
        <f t="shared" si="24"/>
        <v>Low Value</v>
      </c>
      <c r="Q775" t="str">
        <f t="shared" si="25"/>
        <v>Medium</v>
      </c>
      <c r="R775" t="str" cm="1">
        <f t="array" ref="R775">_xlfn.IFS(L775&gt;50000,"Premium",L775&gt;20000,"High",L775&gt;5000,"Medium",TRUE,"Low")</f>
        <v>Medium</v>
      </c>
    </row>
    <row r="776" spans="1:18" x14ac:dyDescent="0.3">
      <c r="A776" t="s">
        <v>1589</v>
      </c>
      <c r="B776" s="1">
        <v>45144</v>
      </c>
      <c r="C776" t="s">
        <v>769</v>
      </c>
      <c r="D776" t="s">
        <v>744</v>
      </c>
      <c r="E776" t="s">
        <v>26</v>
      </c>
      <c r="F776" t="s">
        <v>69</v>
      </c>
      <c r="G776" t="s">
        <v>119</v>
      </c>
      <c r="H776">
        <v>2</v>
      </c>
      <c r="I776">
        <v>2500</v>
      </c>
      <c r="J776">
        <v>15</v>
      </c>
      <c r="K776">
        <v>750</v>
      </c>
      <c r="L776">
        <v>4250</v>
      </c>
      <c r="M776">
        <v>312.04000000000002</v>
      </c>
      <c r="N776" t="s">
        <v>34</v>
      </c>
      <c r="O776" t="s">
        <v>95</v>
      </c>
      <c r="P776" t="str">
        <f t="shared" si="24"/>
        <v>Low Value</v>
      </c>
      <c r="Q776" t="str">
        <f t="shared" si="25"/>
        <v>Low</v>
      </c>
      <c r="R776" t="str" cm="1">
        <f t="array" ref="R776">_xlfn.IFS(L776&gt;50000,"Premium",L776&gt;20000,"High",L776&gt;5000,"Medium",TRUE,"Low")</f>
        <v>Low</v>
      </c>
    </row>
    <row r="777" spans="1:18" x14ac:dyDescent="0.3">
      <c r="A777" t="s">
        <v>1590</v>
      </c>
      <c r="B777" s="1">
        <v>45182</v>
      </c>
      <c r="C777" t="s">
        <v>1591</v>
      </c>
      <c r="D777" t="s">
        <v>840</v>
      </c>
      <c r="E777" t="s">
        <v>83</v>
      </c>
      <c r="F777" t="s">
        <v>60</v>
      </c>
      <c r="G777" t="s">
        <v>365</v>
      </c>
      <c r="H777">
        <v>4</v>
      </c>
      <c r="I777">
        <v>650</v>
      </c>
      <c r="J777">
        <v>25</v>
      </c>
      <c r="K777">
        <v>650</v>
      </c>
      <c r="L777">
        <v>1950</v>
      </c>
      <c r="M777">
        <v>642.16</v>
      </c>
      <c r="N777" t="s">
        <v>21</v>
      </c>
      <c r="O777" t="s">
        <v>35</v>
      </c>
      <c r="P777" t="str">
        <f t="shared" si="24"/>
        <v>Low Value</v>
      </c>
      <c r="Q777" t="str">
        <f t="shared" si="25"/>
        <v>Low</v>
      </c>
      <c r="R777" t="str" cm="1">
        <f t="array" ref="R777">_xlfn.IFS(L777&gt;50000,"Premium",L777&gt;20000,"High",L777&gt;5000,"Medium",TRUE,"Low")</f>
        <v>Low</v>
      </c>
    </row>
    <row r="778" spans="1:18" x14ac:dyDescent="0.3">
      <c r="A778" t="s">
        <v>1592</v>
      </c>
      <c r="B778" s="1">
        <v>45175</v>
      </c>
      <c r="C778" t="s">
        <v>621</v>
      </c>
      <c r="D778" t="s">
        <v>270</v>
      </c>
      <c r="E778" t="s">
        <v>54</v>
      </c>
      <c r="F778" t="s">
        <v>60</v>
      </c>
      <c r="G778" t="s">
        <v>365</v>
      </c>
      <c r="H778">
        <v>2</v>
      </c>
      <c r="I778">
        <v>650</v>
      </c>
      <c r="J778">
        <v>25</v>
      </c>
      <c r="K778">
        <v>325</v>
      </c>
      <c r="L778">
        <v>975</v>
      </c>
      <c r="M778">
        <v>198.86</v>
      </c>
      <c r="N778" t="s">
        <v>41</v>
      </c>
      <c r="O778" t="s">
        <v>35</v>
      </c>
      <c r="P778" t="str">
        <f t="shared" si="24"/>
        <v>Low Value</v>
      </c>
      <c r="Q778" t="str">
        <f t="shared" si="25"/>
        <v>Low</v>
      </c>
      <c r="R778" t="str" cm="1">
        <f t="array" ref="R778">_xlfn.IFS(L778&gt;50000,"Premium",L778&gt;20000,"High",L778&gt;5000,"Medium",TRUE,"Low")</f>
        <v>Low</v>
      </c>
    </row>
    <row r="779" spans="1:18" x14ac:dyDescent="0.3">
      <c r="A779" t="s">
        <v>1593</v>
      </c>
      <c r="B779" s="1">
        <v>45007</v>
      </c>
      <c r="C779" t="s">
        <v>1150</v>
      </c>
      <c r="D779" t="s">
        <v>428</v>
      </c>
      <c r="E779" t="s">
        <v>78</v>
      </c>
      <c r="F779" t="s">
        <v>74</v>
      </c>
      <c r="G779" t="s">
        <v>341</v>
      </c>
      <c r="H779">
        <v>1</v>
      </c>
      <c r="I779">
        <v>700</v>
      </c>
      <c r="J779">
        <v>20</v>
      </c>
      <c r="K779">
        <v>140</v>
      </c>
      <c r="L779">
        <v>560</v>
      </c>
      <c r="M779">
        <v>171.19</v>
      </c>
      <c r="N779" t="s">
        <v>99</v>
      </c>
      <c r="O779" t="s">
        <v>95</v>
      </c>
      <c r="P779" t="str">
        <f t="shared" si="24"/>
        <v>Low Value</v>
      </c>
      <c r="Q779" t="str">
        <f t="shared" si="25"/>
        <v>Low</v>
      </c>
      <c r="R779" t="str" cm="1">
        <f t="array" ref="R779">_xlfn.IFS(L779&gt;50000,"Premium",L779&gt;20000,"High",L779&gt;5000,"Medium",TRUE,"Low")</f>
        <v>Low</v>
      </c>
    </row>
    <row r="780" spans="1:18" x14ac:dyDescent="0.3">
      <c r="A780" t="s">
        <v>1594</v>
      </c>
      <c r="B780" s="1">
        <v>45005</v>
      </c>
      <c r="C780" t="s">
        <v>1595</v>
      </c>
      <c r="D780" t="s">
        <v>1596</v>
      </c>
      <c r="E780" t="s">
        <v>83</v>
      </c>
      <c r="F780" t="s">
        <v>19</v>
      </c>
      <c r="G780" t="s">
        <v>103</v>
      </c>
      <c r="H780">
        <v>3</v>
      </c>
      <c r="I780">
        <v>3500</v>
      </c>
      <c r="J780">
        <v>10</v>
      </c>
      <c r="K780">
        <v>1050</v>
      </c>
      <c r="L780">
        <v>9450</v>
      </c>
      <c r="M780">
        <v>1332.24</v>
      </c>
      <c r="N780" t="s">
        <v>21</v>
      </c>
      <c r="O780" t="s">
        <v>22</v>
      </c>
      <c r="P780" t="str">
        <f t="shared" si="24"/>
        <v>Low Value</v>
      </c>
      <c r="Q780" t="str">
        <f t="shared" si="25"/>
        <v>Medium</v>
      </c>
      <c r="R780" t="str" cm="1">
        <f t="array" ref="R780">_xlfn.IFS(L780&gt;50000,"Premium",L780&gt;20000,"High",L780&gt;5000,"Medium",TRUE,"Low")</f>
        <v>Medium</v>
      </c>
    </row>
    <row r="781" spans="1:18" x14ac:dyDescent="0.3">
      <c r="A781" t="s">
        <v>1597</v>
      </c>
      <c r="B781" s="1">
        <v>44951</v>
      </c>
      <c r="C781" t="s">
        <v>1591</v>
      </c>
      <c r="D781" t="s">
        <v>157</v>
      </c>
      <c r="E781" t="s">
        <v>48</v>
      </c>
      <c r="F781" t="s">
        <v>32</v>
      </c>
      <c r="G781" t="s">
        <v>309</v>
      </c>
      <c r="H781">
        <v>2</v>
      </c>
      <c r="I781">
        <v>180</v>
      </c>
      <c r="J781">
        <v>5</v>
      </c>
      <c r="K781">
        <v>18</v>
      </c>
      <c r="L781">
        <v>342</v>
      </c>
      <c r="M781">
        <v>101.14</v>
      </c>
      <c r="N781" t="s">
        <v>99</v>
      </c>
      <c r="O781" t="s">
        <v>35</v>
      </c>
      <c r="P781" t="str">
        <f t="shared" si="24"/>
        <v>Low Value</v>
      </c>
      <c r="Q781" t="str">
        <f t="shared" si="25"/>
        <v>Low</v>
      </c>
      <c r="R781" t="str" cm="1">
        <f t="array" ref="R781">_xlfn.IFS(L781&gt;50000,"Premium",L781&gt;20000,"High",L781&gt;5000,"Medium",TRUE,"Low")</f>
        <v>Low</v>
      </c>
    </row>
    <row r="782" spans="1:18" x14ac:dyDescent="0.3">
      <c r="A782" t="s">
        <v>1598</v>
      </c>
      <c r="B782" s="1">
        <v>45140</v>
      </c>
      <c r="C782" t="s">
        <v>1599</v>
      </c>
      <c r="D782" t="s">
        <v>358</v>
      </c>
      <c r="E782" t="s">
        <v>83</v>
      </c>
      <c r="F782" t="s">
        <v>39</v>
      </c>
      <c r="G782" t="s">
        <v>79</v>
      </c>
      <c r="H782">
        <v>3</v>
      </c>
      <c r="I782">
        <v>25000</v>
      </c>
      <c r="J782">
        <v>20</v>
      </c>
      <c r="K782">
        <v>15000</v>
      </c>
      <c r="L782">
        <v>60000</v>
      </c>
      <c r="M782">
        <v>11142.74</v>
      </c>
      <c r="N782" t="s">
        <v>27</v>
      </c>
      <c r="O782" t="s">
        <v>95</v>
      </c>
      <c r="P782" t="str">
        <f t="shared" si="24"/>
        <v>High Value</v>
      </c>
      <c r="Q782" t="str">
        <f t="shared" si="25"/>
        <v>Premium</v>
      </c>
      <c r="R782" t="str" cm="1">
        <f t="array" ref="R782">_xlfn.IFS(L782&gt;50000,"Premium",L782&gt;20000,"High",L782&gt;5000,"Medium",TRUE,"Low")</f>
        <v>Premium</v>
      </c>
    </row>
    <row r="783" spans="1:18" x14ac:dyDescent="0.3">
      <c r="A783" t="s">
        <v>1600</v>
      </c>
      <c r="B783" s="1">
        <v>45252</v>
      </c>
      <c r="C783" t="s">
        <v>1233</v>
      </c>
      <c r="D783" t="s">
        <v>863</v>
      </c>
      <c r="E783" t="s">
        <v>26</v>
      </c>
      <c r="F783" t="s">
        <v>39</v>
      </c>
      <c r="G783" t="s">
        <v>209</v>
      </c>
      <c r="H783">
        <v>4</v>
      </c>
      <c r="I783">
        <v>3200</v>
      </c>
      <c r="J783">
        <v>25</v>
      </c>
      <c r="K783">
        <v>3200</v>
      </c>
      <c r="L783">
        <v>9600</v>
      </c>
      <c r="M783">
        <v>1773.34</v>
      </c>
      <c r="N783" t="s">
        <v>41</v>
      </c>
      <c r="O783" t="s">
        <v>35</v>
      </c>
      <c r="P783" t="str">
        <f t="shared" si="24"/>
        <v>Low Value</v>
      </c>
      <c r="Q783" t="str">
        <f t="shared" si="25"/>
        <v>Medium</v>
      </c>
      <c r="R783" t="str" cm="1">
        <f t="array" ref="R783">_xlfn.IFS(L783&gt;50000,"Premium",L783&gt;20000,"High",L783&gt;5000,"Medium",TRUE,"Low")</f>
        <v>Medium</v>
      </c>
    </row>
    <row r="784" spans="1:18" x14ac:dyDescent="0.3">
      <c r="A784" t="s">
        <v>1601</v>
      </c>
      <c r="B784" s="1">
        <v>45129</v>
      </c>
      <c r="C784" t="s">
        <v>221</v>
      </c>
      <c r="D784" t="s">
        <v>880</v>
      </c>
      <c r="E784" t="s">
        <v>83</v>
      </c>
      <c r="F784" t="s">
        <v>32</v>
      </c>
      <c r="G784" t="s">
        <v>361</v>
      </c>
      <c r="H784">
        <v>1</v>
      </c>
      <c r="I784">
        <v>90</v>
      </c>
      <c r="J784">
        <v>25</v>
      </c>
      <c r="K784">
        <v>22.5</v>
      </c>
      <c r="L784">
        <v>67.5</v>
      </c>
      <c r="M784">
        <v>21.4</v>
      </c>
      <c r="N784" t="s">
        <v>99</v>
      </c>
      <c r="O784" t="s">
        <v>95</v>
      </c>
      <c r="P784" t="str">
        <f t="shared" si="24"/>
        <v>Low Value</v>
      </c>
      <c r="Q784" t="str">
        <f t="shared" si="25"/>
        <v>Low</v>
      </c>
      <c r="R784" t="str" cm="1">
        <f t="array" ref="R784">_xlfn.IFS(L784&gt;50000,"Premium",L784&gt;20000,"High",L784&gt;5000,"Medium",TRUE,"Low")</f>
        <v>Low</v>
      </c>
    </row>
    <row r="785" spans="1:18" x14ac:dyDescent="0.3">
      <c r="A785" t="s">
        <v>1602</v>
      </c>
      <c r="B785" s="1">
        <v>45249</v>
      </c>
      <c r="C785" t="s">
        <v>503</v>
      </c>
      <c r="D785" t="s">
        <v>1603</v>
      </c>
      <c r="E785" t="s">
        <v>31</v>
      </c>
      <c r="F785" t="s">
        <v>49</v>
      </c>
      <c r="G785" t="s">
        <v>753</v>
      </c>
      <c r="H785">
        <v>3</v>
      </c>
      <c r="I785">
        <v>299</v>
      </c>
      <c r="J785">
        <v>20</v>
      </c>
      <c r="K785">
        <v>179.4</v>
      </c>
      <c r="L785">
        <v>717.6</v>
      </c>
      <c r="M785">
        <v>174.77</v>
      </c>
      <c r="N785" t="s">
        <v>21</v>
      </c>
      <c r="O785" t="s">
        <v>95</v>
      </c>
      <c r="P785" t="str">
        <f t="shared" si="24"/>
        <v>Low Value</v>
      </c>
      <c r="Q785" t="str">
        <f t="shared" si="25"/>
        <v>Low</v>
      </c>
      <c r="R785" t="str" cm="1">
        <f t="array" ref="R785">_xlfn.IFS(L785&gt;50000,"Premium",L785&gt;20000,"High",L785&gt;5000,"Medium",TRUE,"Low")</f>
        <v>Low</v>
      </c>
    </row>
    <row r="786" spans="1:18" x14ac:dyDescent="0.3">
      <c r="A786" t="s">
        <v>1604</v>
      </c>
      <c r="B786" s="1">
        <v>45222</v>
      </c>
      <c r="C786" t="s">
        <v>1605</v>
      </c>
      <c r="D786" t="s">
        <v>147</v>
      </c>
      <c r="E786" t="s">
        <v>18</v>
      </c>
      <c r="F786" t="s">
        <v>49</v>
      </c>
      <c r="G786" t="s">
        <v>50</v>
      </c>
      <c r="H786">
        <v>5</v>
      </c>
      <c r="I786">
        <v>499</v>
      </c>
      <c r="J786">
        <v>20</v>
      </c>
      <c r="K786">
        <v>499</v>
      </c>
      <c r="L786">
        <v>1996</v>
      </c>
      <c r="M786">
        <v>213.21</v>
      </c>
      <c r="N786" t="s">
        <v>21</v>
      </c>
      <c r="O786" t="s">
        <v>35</v>
      </c>
      <c r="P786" t="str">
        <f t="shared" si="24"/>
        <v>Low Value</v>
      </c>
      <c r="Q786" t="str">
        <f t="shared" si="25"/>
        <v>Low</v>
      </c>
      <c r="R786" t="str" cm="1">
        <f t="array" ref="R786">_xlfn.IFS(L786&gt;50000,"Premium",L786&gt;20000,"High",L786&gt;5000,"Medium",TRUE,"Low")</f>
        <v>Low</v>
      </c>
    </row>
    <row r="787" spans="1:18" x14ac:dyDescent="0.3">
      <c r="A787" t="s">
        <v>1606</v>
      </c>
      <c r="B787" s="1">
        <v>44936</v>
      </c>
      <c r="C787" t="s">
        <v>1456</v>
      </c>
      <c r="D787" t="s">
        <v>1289</v>
      </c>
      <c r="E787" t="s">
        <v>18</v>
      </c>
      <c r="F787" t="s">
        <v>32</v>
      </c>
      <c r="G787" t="s">
        <v>33</v>
      </c>
      <c r="H787">
        <v>2</v>
      </c>
      <c r="I787">
        <v>400</v>
      </c>
      <c r="J787">
        <v>5</v>
      </c>
      <c r="K787">
        <v>40</v>
      </c>
      <c r="L787">
        <v>760</v>
      </c>
      <c r="M787">
        <v>227.17</v>
      </c>
      <c r="N787" t="s">
        <v>21</v>
      </c>
      <c r="O787" t="s">
        <v>95</v>
      </c>
      <c r="P787" t="str">
        <f t="shared" si="24"/>
        <v>Low Value</v>
      </c>
      <c r="Q787" t="str">
        <f t="shared" si="25"/>
        <v>Low</v>
      </c>
      <c r="R787" t="str" cm="1">
        <f t="array" ref="R787">_xlfn.IFS(L787&gt;50000,"Premium",L787&gt;20000,"High",L787&gt;5000,"Medium",TRUE,"Low")</f>
        <v>Low</v>
      </c>
    </row>
    <row r="788" spans="1:18" x14ac:dyDescent="0.3">
      <c r="A788" t="s">
        <v>1607</v>
      </c>
      <c r="B788" s="1">
        <v>45091</v>
      </c>
      <c r="C788" t="s">
        <v>1608</v>
      </c>
      <c r="D788" t="s">
        <v>405</v>
      </c>
      <c r="E788" t="s">
        <v>83</v>
      </c>
      <c r="F788" t="s">
        <v>39</v>
      </c>
      <c r="G788" t="s">
        <v>79</v>
      </c>
      <c r="H788">
        <v>1</v>
      </c>
      <c r="I788">
        <v>25000</v>
      </c>
      <c r="J788">
        <v>15</v>
      </c>
      <c r="K788">
        <v>3750</v>
      </c>
      <c r="L788">
        <v>21250</v>
      </c>
      <c r="M788">
        <v>6557.59</v>
      </c>
      <c r="N788" t="s">
        <v>41</v>
      </c>
      <c r="O788" t="s">
        <v>35</v>
      </c>
      <c r="P788" t="str">
        <f t="shared" si="24"/>
        <v>High Value</v>
      </c>
      <c r="Q788" t="str">
        <f t="shared" si="25"/>
        <v>High</v>
      </c>
      <c r="R788" t="str" cm="1">
        <f t="array" ref="R788">_xlfn.IFS(L788&gt;50000,"Premium",L788&gt;20000,"High",L788&gt;5000,"Medium",TRUE,"Low")</f>
        <v>High</v>
      </c>
    </row>
    <row r="789" spans="1:18" x14ac:dyDescent="0.3">
      <c r="A789" t="s">
        <v>1609</v>
      </c>
      <c r="B789" s="1">
        <v>45197</v>
      </c>
      <c r="C789" t="s">
        <v>1179</v>
      </c>
      <c r="D789" t="s">
        <v>930</v>
      </c>
      <c r="E789" t="s">
        <v>78</v>
      </c>
      <c r="F789" t="s">
        <v>32</v>
      </c>
      <c r="G789" t="s">
        <v>259</v>
      </c>
      <c r="H789">
        <v>3</v>
      </c>
      <c r="I789">
        <v>450</v>
      </c>
      <c r="J789">
        <v>0</v>
      </c>
      <c r="K789">
        <v>0</v>
      </c>
      <c r="L789">
        <v>1350</v>
      </c>
      <c r="M789">
        <v>113.93</v>
      </c>
      <c r="N789" t="s">
        <v>27</v>
      </c>
      <c r="O789" t="s">
        <v>35</v>
      </c>
      <c r="P789" t="str">
        <f t="shared" si="24"/>
        <v>Low Value</v>
      </c>
      <c r="Q789" t="str">
        <f t="shared" si="25"/>
        <v>Low</v>
      </c>
      <c r="R789" t="str" cm="1">
        <f t="array" ref="R789">_xlfn.IFS(L789&gt;50000,"Premium",L789&gt;20000,"High",L789&gt;5000,"Medium",TRUE,"Low")</f>
        <v>Low</v>
      </c>
    </row>
    <row r="790" spans="1:18" x14ac:dyDescent="0.3">
      <c r="A790" t="s">
        <v>1610</v>
      </c>
      <c r="B790" s="1">
        <v>45057</v>
      </c>
      <c r="C790" t="s">
        <v>224</v>
      </c>
      <c r="D790" t="s">
        <v>461</v>
      </c>
      <c r="E790" t="s">
        <v>48</v>
      </c>
      <c r="F790" t="s">
        <v>49</v>
      </c>
      <c r="G790" t="s">
        <v>50</v>
      </c>
      <c r="H790">
        <v>2</v>
      </c>
      <c r="I790">
        <v>499</v>
      </c>
      <c r="J790">
        <v>10</v>
      </c>
      <c r="K790">
        <v>99.8</v>
      </c>
      <c r="L790">
        <v>898.2</v>
      </c>
      <c r="M790">
        <v>301.48</v>
      </c>
      <c r="N790" t="s">
        <v>27</v>
      </c>
      <c r="O790" t="s">
        <v>35</v>
      </c>
      <c r="P790" t="str">
        <f t="shared" si="24"/>
        <v>Low Value</v>
      </c>
      <c r="Q790" t="str">
        <f t="shared" si="25"/>
        <v>Low</v>
      </c>
      <c r="R790" t="str" cm="1">
        <f t="array" ref="R790">_xlfn.IFS(L790&gt;50000,"Premium",L790&gt;20000,"High",L790&gt;5000,"Medium",TRUE,"Low")</f>
        <v>Low</v>
      </c>
    </row>
    <row r="791" spans="1:18" x14ac:dyDescent="0.3">
      <c r="A791" t="s">
        <v>1611</v>
      </c>
      <c r="B791" s="1">
        <v>44956</v>
      </c>
      <c r="C791" t="s">
        <v>938</v>
      </c>
      <c r="D791" t="s">
        <v>666</v>
      </c>
      <c r="E791" t="s">
        <v>26</v>
      </c>
      <c r="F791" t="s">
        <v>32</v>
      </c>
      <c r="G791" t="s">
        <v>259</v>
      </c>
      <c r="H791">
        <v>1</v>
      </c>
      <c r="I791">
        <v>450</v>
      </c>
      <c r="J791">
        <v>10</v>
      </c>
      <c r="K791">
        <v>45</v>
      </c>
      <c r="L791">
        <v>405</v>
      </c>
      <c r="M791">
        <v>37.56</v>
      </c>
      <c r="N791" t="s">
        <v>99</v>
      </c>
      <c r="O791" t="s">
        <v>35</v>
      </c>
      <c r="P791" t="str">
        <f t="shared" si="24"/>
        <v>Low Value</v>
      </c>
      <c r="Q791" t="str">
        <f t="shared" si="25"/>
        <v>Low</v>
      </c>
      <c r="R791" t="str" cm="1">
        <f t="array" ref="R791">_xlfn.IFS(L791&gt;50000,"Premium",L791&gt;20000,"High",L791&gt;5000,"Medium",TRUE,"Low")</f>
        <v>Low</v>
      </c>
    </row>
    <row r="792" spans="1:18" x14ac:dyDescent="0.3">
      <c r="A792" t="s">
        <v>1612</v>
      </c>
      <c r="B792" s="1">
        <v>45030</v>
      </c>
      <c r="C792" t="s">
        <v>1216</v>
      </c>
      <c r="D792" t="s">
        <v>744</v>
      </c>
      <c r="E792" t="s">
        <v>18</v>
      </c>
      <c r="F792" t="s">
        <v>69</v>
      </c>
      <c r="G792" t="s">
        <v>111</v>
      </c>
      <c r="H792">
        <v>5</v>
      </c>
      <c r="I792">
        <v>3499</v>
      </c>
      <c r="J792">
        <v>20</v>
      </c>
      <c r="K792">
        <v>3499</v>
      </c>
      <c r="L792">
        <v>13996</v>
      </c>
      <c r="M792">
        <v>1692.78</v>
      </c>
      <c r="N792" t="s">
        <v>34</v>
      </c>
      <c r="O792" t="s">
        <v>35</v>
      </c>
      <c r="P792" t="str">
        <f t="shared" si="24"/>
        <v>Low Value</v>
      </c>
      <c r="Q792" t="str">
        <f t="shared" si="25"/>
        <v>Medium</v>
      </c>
      <c r="R792" t="str" cm="1">
        <f t="array" ref="R792">_xlfn.IFS(L792&gt;50000,"Premium",L792&gt;20000,"High",L792&gt;5000,"Medium",TRUE,"Low")</f>
        <v>Medium</v>
      </c>
    </row>
    <row r="793" spans="1:18" x14ac:dyDescent="0.3">
      <c r="A793" t="s">
        <v>1613</v>
      </c>
      <c r="B793" s="1">
        <v>45089</v>
      </c>
      <c r="C793" t="s">
        <v>1614</v>
      </c>
      <c r="D793" t="s">
        <v>102</v>
      </c>
      <c r="E793" t="s">
        <v>78</v>
      </c>
      <c r="F793" t="s">
        <v>39</v>
      </c>
      <c r="G793" t="s">
        <v>79</v>
      </c>
      <c r="H793">
        <v>4</v>
      </c>
      <c r="I793">
        <v>25000</v>
      </c>
      <c r="J793">
        <v>0</v>
      </c>
      <c r="K793">
        <v>0</v>
      </c>
      <c r="L793">
        <v>100000</v>
      </c>
      <c r="M793">
        <v>19525.150000000001</v>
      </c>
      <c r="N793" t="s">
        <v>21</v>
      </c>
      <c r="O793" t="s">
        <v>95</v>
      </c>
      <c r="P793" t="str">
        <f t="shared" si="24"/>
        <v>High Value</v>
      </c>
      <c r="Q793" t="str">
        <f t="shared" si="25"/>
        <v>Premium</v>
      </c>
      <c r="R793" t="str" cm="1">
        <f t="array" ref="R793">_xlfn.IFS(L793&gt;50000,"Premium",L793&gt;20000,"High",L793&gt;5000,"Medium",TRUE,"Low")</f>
        <v>Premium</v>
      </c>
    </row>
    <row r="794" spans="1:18" x14ac:dyDescent="0.3">
      <c r="A794" t="s">
        <v>1615</v>
      </c>
      <c r="B794" s="1">
        <v>45272</v>
      </c>
      <c r="C794" t="s">
        <v>1403</v>
      </c>
      <c r="D794" t="s">
        <v>548</v>
      </c>
      <c r="E794" t="s">
        <v>54</v>
      </c>
      <c r="F794" t="s">
        <v>19</v>
      </c>
      <c r="G794" t="s">
        <v>65</v>
      </c>
      <c r="H794">
        <v>5</v>
      </c>
      <c r="I794">
        <v>55000</v>
      </c>
      <c r="J794">
        <v>25</v>
      </c>
      <c r="K794">
        <v>68750</v>
      </c>
      <c r="L794">
        <v>206250</v>
      </c>
      <c r="M794">
        <v>58897.63</v>
      </c>
      <c r="N794" t="s">
        <v>99</v>
      </c>
      <c r="O794" t="s">
        <v>95</v>
      </c>
      <c r="P794" t="str">
        <f t="shared" si="24"/>
        <v>High Value</v>
      </c>
      <c r="Q794" t="str">
        <f t="shared" si="25"/>
        <v>Premium</v>
      </c>
      <c r="R794" t="str" cm="1">
        <f t="array" ref="R794">_xlfn.IFS(L794&gt;50000,"Premium",L794&gt;20000,"High",L794&gt;5000,"Medium",TRUE,"Low")</f>
        <v>Premium</v>
      </c>
    </row>
    <row r="795" spans="1:18" x14ac:dyDescent="0.3">
      <c r="A795" t="s">
        <v>1616</v>
      </c>
      <c r="B795" s="1">
        <v>45031</v>
      </c>
      <c r="C795" t="s">
        <v>167</v>
      </c>
      <c r="D795" t="s">
        <v>1452</v>
      </c>
      <c r="E795" t="s">
        <v>26</v>
      </c>
      <c r="F795" t="s">
        <v>49</v>
      </c>
      <c r="G795" t="s">
        <v>94</v>
      </c>
      <c r="H795">
        <v>3</v>
      </c>
      <c r="I795">
        <v>399</v>
      </c>
      <c r="J795">
        <v>20</v>
      </c>
      <c r="K795">
        <v>239.4</v>
      </c>
      <c r="L795">
        <v>957.6</v>
      </c>
      <c r="M795">
        <v>330.94</v>
      </c>
      <c r="N795" t="s">
        <v>21</v>
      </c>
      <c r="O795" t="s">
        <v>22</v>
      </c>
      <c r="P795" t="str">
        <f t="shared" si="24"/>
        <v>Low Value</v>
      </c>
      <c r="Q795" t="str">
        <f t="shared" si="25"/>
        <v>Low</v>
      </c>
      <c r="R795" t="str" cm="1">
        <f t="array" ref="R795">_xlfn.IFS(L795&gt;50000,"Premium",L795&gt;20000,"High",L795&gt;5000,"Medium",TRUE,"Low")</f>
        <v>Low</v>
      </c>
    </row>
    <row r="796" spans="1:18" x14ac:dyDescent="0.3">
      <c r="A796" t="s">
        <v>1617</v>
      </c>
      <c r="B796" s="1">
        <v>44948</v>
      </c>
      <c r="C796" t="s">
        <v>773</v>
      </c>
      <c r="D796" t="s">
        <v>290</v>
      </c>
      <c r="E796" t="s">
        <v>59</v>
      </c>
      <c r="F796" t="s">
        <v>19</v>
      </c>
      <c r="G796" t="s">
        <v>107</v>
      </c>
      <c r="H796">
        <v>4</v>
      </c>
      <c r="I796">
        <v>4500</v>
      </c>
      <c r="J796">
        <v>20</v>
      </c>
      <c r="K796">
        <v>3600</v>
      </c>
      <c r="L796">
        <v>14400</v>
      </c>
      <c r="M796">
        <v>1969.56</v>
      </c>
      <c r="N796" t="s">
        <v>41</v>
      </c>
      <c r="O796" t="s">
        <v>35</v>
      </c>
      <c r="P796" t="str">
        <f t="shared" si="24"/>
        <v>Low Value</v>
      </c>
      <c r="Q796" t="str">
        <f t="shared" si="25"/>
        <v>Medium</v>
      </c>
      <c r="R796" t="str" cm="1">
        <f t="array" ref="R796">_xlfn.IFS(L796&gt;50000,"Premium",L796&gt;20000,"High",L796&gt;5000,"Medium",TRUE,"Low")</f>
        <v>Medium</v>
      </c>
    </row>
    <row r="797" spans="1:18" x14ac:dyDescent="0.3">
      <c r="A797" t="s">
        <v>1618</v>
      </c>
      <c r="B797" s="1">
        <v>45233</v>
      </c>
      <c r="C797" t="s">
        <v>1518</v>
      </c>
      <c r="D797" t="s">
        <v>136</v>
      </c>
      <c r="E797" t="s">
        <v>78</v>
      </c>
      <c r="F797" t="s">
        <v>32</v>
      </c>
      <c r="G797" t="s">
        <v>33</v>
      </c>
      <c r="H797">
        <v>4</v>
      </c>
      <c r="I797">
        <v>400</v>
      </c>
      <c r="J797">
        <v>10</v>
      </c>
      <c r="K797">
        <v>160</v>
      </c>
      <c r="L797">
        <v>1440</v>
      </c>
      <c r="M797">
        <v>435.93</v>
      </c>
      <c r="N797" t="s">
        <v>99</v>
      </c>
      <c r="O797" t="s">
        <v>35</v>
      </c>
      <c r="P797" t="str">
        <f t="shared" si="24"/>
        <v>Low Value</v>
      </c>
      <c r="Q797" t="str">
        <f t="shared" si="25"/>
        <v>Low</v>
      </c>
      <c r="R797" t="str" cm="1">
        <f t="array" ref="R797">_xlfn.IFS(L797&gt;50000,"Premium",L797&gt;20000,"High",L797&gt;5000,"Medium",TRUE,"Low")</f>
        <v>Low</v>
      </c>
    </row>
    <row r="798" spans="1:18" x14ac:dyDescent="0.3">
      <c r="A798" t="s">
        <v>1619</v>
      </c>
      <c r="B798" s="1">
        <v>45200</v>
      </c>
      <c r="C798" t="s">
        <v>1620</v>
      </c>
      <c r="D798" t="s">
        <v>1524</v>
      </c>
      <c r="E798" t="s">
        <v>78</v>
      </c>
      <c r="F798" t="s">
        <v>74</v>
      </c>
      <c r="G798" t="s">
        <v>137</v>
      </c>
      <c r="H798">
        <v>3</v>
      </c>
      <c r="I798">
        <v>2500</v>
      </c>
      <c r="J798">
        <v>0</v>
      </c>
      <c r="K798">
        <v>0</v>
      </c>
      <c r="L798">
        <v>7500</v>
      </c>
      <c r="M798">
        <v>1264.44</v>
      </c>
      <c r="N798" t="s">
        <v>41</v>
      </c>
      <c r="O798" t="s">
        <v>35</v>
      </c>
      <c r="P798" t="str">
        <f t="shared" si="24"/>
        <v>Low Value</v>
      </c>
      <c r="Q798" t="str">
        <f t="shared" si="25"/>
        <v>Medium</v>
      </c>
      <c r="R798" t="str" cm="1">
        <f t="array" ref="R798">_xlfn.IFS(L798&gt;50000,"Premium",L798&gt;20000,"High",L798&gt;5000,"Medium",TRUE,"Low")</f>
        <v>Medium</v>
      </c>
    </row>
    <row r="799" spans="1:18" x14ac:dyDescent="0.3">
      <c r="A799" t="s">
        <v>1621</v>
      </c>
      <c r="B799" s="1">
        <v>45239</v>
      </c>
      <c r="C799" t="s">
        <v>1622</v>
      </c>
      <c r="D799" t="s">
        <v>1623</v>
      </c>
      <c r="E799" t="s">
        <v>78</v>
      </c>
      <c r="F799" t="s">
        <v>74</v>
      </c>
      <c r="G799" t="s">
        <v>250</v>
      </c>
      <c r="H799">
        <v>3</v>
      </c>
      <c r="I799">
        <v>3500</v>
      </c>
      <c r="J799">
        <v>25</v>
      </c>
      <c r="K799">
        <v>2625</v>
      </c>
      <c r="L799">
        <v>7875</v>
      </c>
      <c r="M799">
        <v>2627.28</v>
      </c>
      <c r="N799" t="s">
        <v>27</v>
      </c>
      <c r="O799" t="s">
        <v>35</v>
      </c>
      <c r="P799" t="str">
        <f t="shared" si="24"/>
        <v>Low Value</v>
      </c>
      <c r="Q799" t="str">
        <f t="shared" si="25"/>
        <v>Medium</v>
      </c>
      <c r="R799" t="str" cm="1">
        <f t="array" ref="R799">_xlfn.IFS(L799&gt;50000,"Premium",L799&gt;20000,"High",L799&gt;5000,"Medium",TRUE,"Low")</f>
        <v>Medium</v>
      </c>
    </row>
    <row r="800" spans="1:18" x14ac:dyDescent="0.3">
      <c r="A800" t="s">
        <v>1624</v>
      </c>
      <c r="B800" s="1">
        <v>45101</v>
      </c>
      <c r="C800" t="s">
        <v>1625</v>
      </c>
      <c r="D800" t="s">
        <v>393</v>
      </c>
      <c r="E800" t="s">
        <v>54</v>
      </c>
      <c r="F800" t="s">
        <v>69</v>
      </c>
      <c r="G800" t="s">
        <v>119</v>
      </c>
      <c r="H800">
        <v>5</v>
      </c>
      <c r="I800">
        <v>2500</v>
      </c>
      <c r="J800">
        <v>10</v>
      </c>
      <c r="K800">
        <v>1250</v>
      </c>
      <c r="L800">
        <v>11250</v>
      </c>
      <c r="M800">
        <v>616.08000000000004</v>
      </c>
      <c r="N800" t="s">
        <v>99</v>
      </c>
      <c r="O800" t="s">
        <v>35</v>
      </c>
      <c r="P800" t="str">
        <f t="shared" si="24"/>
        <v>Low Value</v>
      </c>
      <c r="Q800" t="str">
        <f t="shared" si="25"/>
        <v>Medium</v>
      </c>
      <c r="R800" t="str" cm="1">
        <f t="array" ref="R800">_xlfn.IFS(L800&gt;50000,"Premium",L800&gt;20000,"High",L800&gt;5000,"Medium",TRUE,"Low")</f>
        <v>Medium</v>
      </c>
    </row>
    <row r="801" spans="1:18" x14ac:dyDescent="0.3">
      <c r="A801" t="s">
        <v>1626</v>
      </c>
      <c r="B801" s="1">
        <v>45271</v>
      </c>
      <c r="C801" t="s">
        <v>1627</v>
      </c>
      <c r="D801" t="s">
        <v>1628</v>
      </c>
      <c r="E801" t="s">
        <v>18</v>
      </c>
      <c r="F801" t="s">
        <v>69</v>
      </c>
      <c r="G801" t="s">
        <v>119</v>
      </c>
      <c r="H801">
        <v>5</v>
      </c>
      <c r="I801">
        <v>2500</v>
      </c>
      <c r="J801">
        <v>25</v>
      </c>
      <c r="K801">
        <v>3125</v>
      </c>
      <c r="L801">
        <v>9375</v>
      </c>
      <c r="M801">
        <v>2446.7800000000002</v>
      </c>
      <c r="N801" t="s">
        <v>99</v>
      </c>
      <c r="O801" t="s">
        <v>95</v>
      </c>
      <c r="P801" t="str">
        <f t="shared" si="24"/>
        <v>Low Value</v>
      </c>
      <c r="Q801" t="str">
        <f t="shared" si="25"/>
        <v>Medium</v>
      </c>
      <c r="R801" t="str" cm="1">
        <f t="array" ref="R801">_xlfn.IFS(L801&gt;50000,"Premium",L801&gt;20000,"High",L801&gt;5000,"Medium",TRUE,"Low")</f>
        <v>Medium</v>
      </c>
    </row>
    <row r="802" spans="1:18" x14ac:dyDescent="0.3">
      <c r="A802" t="s">
        <v>1629</v>
      </c>
      <c r="B802" s="1">
        <v>44942</v>
      </c>
      <c r="C802" t="s">
        <v>773</v>
      </c>
      <c r="D802" t="s">
        <v>1630</v>
      </c>
      <c r="E802" t="s">
        <v>48</v>
      </c>
      <c r="F802" t="s">
        <v>49</v>
      </c>
      <c r="G802" t="s">
        <v>753</v>
      </c>
      <c r="H802">
        <v>4</v>
      </c>
      <c r="I802">
        <v>299</v>
      </c>
      <c r="J802">
        <v>25</v>
      </c>
      <c r="K802">
        <v>299</v>
      </c>
      <c r="L802">
        <v>897</v>
      </c>
      <c r="M802">
        <v>78.06</v>
      </c>
      <c r="N802" t="s">
        <v>41</v>
      </c>
      <c r="O802" t="s">
        <v>35</v>
      </c>
      <c r="P802" t="str">
        <f t="shared" si="24"/>
        <v>Low Value</v>
      </c>
      <c r="Q802" t="str">
        <f t="shared" si="25"/>
        <v>Low</v>
      </c>
      <c r="R802" t="str" cm="1">
        <f t="array" ref="R802">_xlfn.IFS(L802&gt;50000,"Premium",L802&gt;20000,"High",L802&gt;5000,"Medium",TRUE,"Low")</f>
        <v>Low</v>
      </c>
    </row>
    <row r="803" spans="1:18" x14ac:dyDescent="0.3">
      <c r="A803" t="s">
        <v>1631</v>
      </c>
      <c r="B803" s="1">
        <v>45283</v>
      </c>
      <c r="C803" t="s">
        <v>531</v>
      </c>
      <c r="D803" t="s">
        <v>920</v>
      </c>
      <c r="E803" t="s">
        <v>59</v>
      </c>
      <c r="F803" t="s">
        <v>19</v>
      </c>
      <c r="G803" t="s">
        <v>20</v>
      </c>
      <c r="H803">
        <v>4</v>
      </c>
      <c r="I803">
        <v>18000</v>
      </c>
      <c r="J803">
        <v>10</v>
      </c>
      <c r="K803">
        <v>7200</v>
      </c>
      <c r="L803">
        <v>64800</v>
      </c>
      <c r="M803">
        <v>21440.66</v>
      </c>
      <c r="N803" t="s">
        <v>34</v>
      </c>
      <c r="O803" t="s">
        <v>35</v>
      </c>
      <c r="P803" t="str">
        <f t="shared" si="24"/>
        <v>High Value</v>
      </c>
      <c r="Q803" t="str">
        <f t="shared" si="25"/>
        <v>Premium</v>
      </c>
      <c r="R803" t="str" cm="1">
        <f t="array" ref="R803">_xlfn.IFS(L803&gt;50000,"Premium",L803&gt;20000,"High",L803&gt;5000,"Medium",TRUE,"Low")</f>
        <v>Premium</v>
      </c>
    </row>
    <row r="804" spans="1:18" x14ac:dyDescent="0.3">
      <c r="A804" t="s">
        <v>1632</v>
      </c>
      <c r="B804" s="1">
        <v>45025</v>
      </c>
      <c r="C804" t="s">
        <v>1633</v>
      </c>
      <c r="D804" t="s">
        <v>637</v>
      </c>
      <c r="E804" t="s">
        <v>54</v>
      </c>
      <c r="F804" t="s">
        <v>19</v>
      </c>
      <c r="G804" t="s">
        <v>107</v>
      </c>
      <c r="H804">
        <v>5</v>
      </c>
      <c r="I804">
        <v>4500</v>
      </c>
      <c r="J804">
        <v>25</v>
      </c>
      <c r="K804">
        <v>5625</v>
      </c>
      <c r="L804">
        <v>16875</v>
      </c>
      <c r="M804">
        <v>2378.59</v>
      </c>
      <c r="N804" t="s">
        <v>34</v>
      </c>
      <c r="O804" t="s">
        <v>35</v>
      </c>
      <c r="P804" t="str">
        <f t="shared" si="24"/>
        <v>Low Value</v>
      </c>
      <c r="Q804" t="str">
        <f t="shared" si="25"/>
        <v>Medium</v>
      </c>
      <c r="R804" t="str" cm="1">
        <f t="array" ref="R804">_xlfn.IFS(L804&gt;50000,"Premium",L804&gt;20000,"High",L804&gt;5000,"Medium",TRUE,"Low")</f>
        <v>Medium</v>
      </c>
    </row>
    <row r="805" spans="1:18" x14ac:dyDescent="0.3">
      <c r="A805" t="s">
        <v>1634</v>
      </c>
      <c r="B805" s="1">
        <v>45070</v>
      </c>
      <c r="C805" t="s">
        <v>1635</v>
      </c>
      <c r="D805" t="s">
        <v>1636</v>
      </c>
      <c r="E805" t="s">
        <v>78</v>
      </c>
      <c r="F805" t="s">
        <v>39</v>
      </c>
      <c r="G805" t="s">
        <v>213</v>
      </c>
      <c r="H805">
        <v>5</v>
      </c>
      <c r="I805">
        <v>15000</v>
      </c>
      <c r="J805">
        <v>5</v>
      </c>
      <c r="K805">
        <v>3750</v>
      </c>
      <c r="L805">
        <v>71250</v>
      </c>
      <c r="M805">
        <v>3715.02</v>
      </c>
      <c r="N805" t="s">
        <v>21</v>
      </c>
      <c r="O805" t="s">
        <v>95</v>
      </c>
      <c r="P805" t="str">
        <f t="shared" si="24"/>
        <v>High Value</v>
      </c>
      <c r="Q805" t="str">
        <f t="shared" si="25"/>
        <v>Premium</v>
      </c>
      <c r="R805" t="str" cm="1">
        <f t="array" ref="R805">_xlfn.IFS(L805&gt;50000,"Premium",L805&gt;20000,"High",L805&gt;5000,"Medium",TRUE,"Low")</f>
        <v>Premium</v>
      </c>
    </row>
    <row r="806" spans="1:18" x14ac:dyDescent="0.3">
      <c r="A806" t="s">
        <v>1637</v>
      </c>
      <c r="B806" s="1">
        <v>45179</v>
      </c>
      <c r="C806" t="s">
        <v>1001</v>
      </c>
      <c r="D806" t="s">
        <v>1256</v>
      </c>
      <c r="E806" t="s">
        <v>83</v>
      </c>
      <c r="F806" t="s">
        <v>69</v>
      </c>
      <c r="G806" t="s">
        <v>243</v>
      </c>
      <c r="H806">
        <v>2</v>
      </c>
      <c r="I806">
        <v>1999</v>
      </c>
      <c r="J806">
        <v>25</v>
      </c>
      <c r="K806">
        <v>999.5</v>
      </c>
      <c r="L806">
        <v>2998.5</v>
      </c>
      <c r="M806">
        <v>814.53</v>
      </c>
      <c r="N806" t="s">
        <v>99</v>
      </c>
      <c r="O806" t="s">
        <v>95</v>
      </c>
      <c r="P806" t="str">
        <f t="shared" si="24"/>
        <v>Low Value</v>
      </c>
      <c r="Q806" t="str">
        <f t="shared" si="25"/>
        <v>Low</v>
      </c>
      <c r="R806" t="str" cm="1">
        <f t="array" ref="R806">_xlfn.IFS(L806&gt;50000,"Premium",L806&gt;20000,"High",L806&gt;5000,"Medium",TRUE,"Low")</f>
        <v>Low</v>
      </c>
    </row>
    <row r="807" spans="1:18" x14ac:dyDescent="0.3">
      <c r="A807" t="s">
        <v>1638</v>
      </c>
      <c r="B807" s="1">
        <v>44992</v>
      </c>
      <c r="C807" t="s">
        <v>1639</v>
      </c>
      <c r="D807" t="s">
        <v>1060</v>
      </c>
      <c r="E807" t="s">
        <v>78</v>
      </c>
      <c r="F807" t="s">
        <v>60</v>
      </c>
      <c r="G807" t="s">
        <v>291</v>
      </c>
      <c r="H807">
        <v>2</v>
      </c>
      <c r="I807">
        <v>450</v>
      </c>
      <c r="J807">
        <v>10</v>
      </c>
      <c r="K807">
        <v>90</v>
      </c>
      <c r="L807">
        <v>810</v>
      </c>
      <c r="M807">
        <v>267.36</v>
      </c>
      <c r="N807" t="s">
        <v>27</v>
      </c>
      <c r="O807" t="s">
        <v>35</v>
      </c>
      <c r="P807" t="str">
        <f t="shared" si="24"/>
        <v>Low Value</v>
      </c>
      <c r="Q807" t="str">
        <f t="shared" si="25"/>
        <v>Low</v>
      </c>
      <c r="R807" t="str" cm="1">
        <f t="array" ref="R807">_xlfn.IFS(L807&gt;50000,"Premium",L807&gt;20000,"High",L807&gt;5000,"Medium",TRUE,"Low")</f>
        <v>Low</v>
      </c>
    </row>
    <row r="808" spans="1:18" x14ac:dyDescent="0.3">
      <c r="A808" t="s">
        <v>1640</v>
      </c>
      <c r="B808" s="1">
        <v>45281</v>
      </c>
      <c r="C808" t="s">
        <v>163</v>
      </c>
      <c r="D808" t="s">
        <v>340</v>
      </c>
      <c r="E808" t="s">
        <v>26</v>
      </c>
      <c r="F808" t="s">
        <v>60</v>
      </c>
      <c r="G808" t="s">
        <v>61</v>
      </c>
      <c r="H808">
        <v>5</v>
      </c>
      <c r="I808">
        <v>850</v>
      </c>
      <c r="J808">
        <v>10</v>
      </c>
      <c r="K808">
        <v>425</v>
      </c>
      <c r="L808">
        <v>3825</v>
      </c>
      <c r="M808">
        <v>972.33</v>
      </c>
      <c r="N808" t="s">
        <v>99</v>
      </c>
      <c r="O808" t="s">
        <v>35</v>
      </c>
      <c r="P808" t="str">
        <f t="shared" si="24"/>
        <v>Low Value</v>
      </c>
      <c r="Q808" t="str">
        <f t="shared" si="25"/>
        <v>Low</v>
      </c>
      <c r="R808" t="str" cm="1">
        <f t="array" ref="R808">_xlfn.IFS(L808&gt;50000,"Premium",L808&gt;20000,"High",L808&gt;5000,"Medium",TRUE,"Low")</f>
        <v>Low</v>
      </c>
    </row>
    <row r="809" spans="1:18" x14ac:dyDescent="0.3">
      <c r="A809" t="s">
        <v>1641</v>
      </c>
      <c r="B809" s="1">
        <v>45148</v>
      </c>
      <c r="C809" t="s">
        <v>255</v>
      </c>
      <c r="D809" t="s">
        <v>1400</v>
      </c>
      <c r="E809" t="s">
        <v>59</v>
      </c>
      <c r="F809" t="s">
        <v>49</v>
      </c>
      <c r="G809" t="s">
        <v>603</v>
      </c>
      <c r="H809">
        <v>3</v>
      </c>
      <c r="I809">
        <v>449</v>
      </c>
      <c r="J809">
        <v>0</v>
      </c>
      <c r="K809">
        <v>0</v>
      </c>
      <c r="L809">
        <v>1347</v>
      </c>
      <c r="M809">
        <v>342.21</v>
      </c>
      <c r="N809" t="s">
        <v>27</v>
      </c>
      <c r="O809" t="s">
        <v>35</v>
      </c>
      <c r="P809" t="str">
        <f t="shared" si="24"/>
        <v>Low Value</v>
      </c>
      <c r="Q809" t="str">
        <f t="shared" si="25"/>
        <v>Low</v>
      </c>
      <c r="R809" t="str" cm="1">
        <f t="array" ref="R809">_xlfn.IFS(L809&gt;50000,"Premium",L809&gt;20000,"High",L809&gt;5000,"Medium",TRUE,"Low")</f>
        <v>Low</v>
      </c>
    </row>
    <row r="810" spans="1:18" x14ac:dyDescent="0.3">
      <c r="A810" t="s">
        <v>1642</v>
      </c>
      <c r="B810" s="1">
        <v>45069</v>
      </c>
      <c r="C810" t="s">
        <v>1101</v>
      </c>
      <c r="D810" t="s">
        <v>863</v>
      </c>
      <c r="E810" t="s">
        <v>59</v>
      </c>
      <c r="F810" t="s">
        <v>39</v>
      </c>
      <c r="G810" t="s">
        <v>79</v>
      </c>
      <c r="H810">
        <v>4</v>
      </c>
      <c r="I810">
        <v>25000</v>
      </c>
      <c r="J810">
        <v>10</v>
      </c>
      <c r="K810">
        <v>10000</v>
      </c>
      <c r="L810">
        <v>90000</v>
      </c>
      <c r="M810">
        <v>4639.3</v>
      </c>
      <c r="N810" t="s">
        <v>27</v>
      </c>
      <c r="O810" t="s">
        <v>22</v>
      </c>
      <c r="P810" t="str">
        <f t="shared" si="24"/>
        <v>High Value</v>
      </c>
      <c r="Q810" t="str">
        <f t="shared" si="25"/>
        <v>Premium</v>
      </c>
      <c r="R810" t="str" cm="1">
        <f t="array" ref="R810">_xlfn.IFS(L810&gt;50000,"Premium",L810&gt;20000,"High",L810&gt;5000,"Medium",TRUE,"Low")</f>
        <v>Premium</v>
      </c>
    </row>
    <row r="811" spans="1:18" x14ac:dyDescent="0.3">
      <c r="A811" t="s">
        <v>1643</v>
      </c>
      <c r="B811" s="1">
        <v>44965</v>
      </c>
      <c r="C811" t="s">
        <v>1020</v>
      </c>
      <c r="D811" t="s">
        <v>526</v>
      </c>
      <c r="E811" t="s">
        <v>54</v>
      </c>
      <c r="F811" t="s">
        <v>69</v>
      </c>
      <c r="G811" t="s">
        <v>202</v>
      </c>
      <c r="H811">
        <v>2</v>
      </c>
      <c r="I811">
        <v>1299</v>
      </c>
      <c r="J811">
        <v>10</v>
      </c>
      <c r="K811">
        <v>259.8</v>
      </c>
      <c r="L811">
        <v>2338.1999999999998</v>
      </c>
      <c r="M811">
        <v>334.93</v>
      </c>
      <c r="N811" t="s">
        <v>41</v>
      </c>
      <c r="O811" t="s">
        <v>35</v>
      </c>
      <c r="P811" t="str">
        <f t="shared" si="24"/>
        <v>Low Value</v>
      </c>
      <c r="Q811" t="str">
        <f t="shared" si="25"/>
        <v>Low</v>
      </c>
      <c r="R811" t="str" cm="1">
        <f t="array" ref="R811">_xlfn.IFS(L811&gt;50000,"Premium",L811&gt;20000,"High",L811&gt;5000,"Medium",TRUE,"Low")</f>
        <v>Low</v>
      </c>
    </row>
    <row r="812" spans="1:18" x14ac:dyDescent="0.3">
      <c r="A812" t="s">
        <v>1644</v>
      </c>
      <c r="B812" s="1">
        <v>45230</v>
      </c>
      <c r="C812" t="s">
        <v>238</v>
      </c>
      <c r="D812" t="s">
        <v>1106</v>
      </c>
      <c r="E812" t="s">
        <v>59</v>
      </c>
      <c r="F812" t="s">
        <v>49</v>
      </c>
      <c r="G812" t="s">
        <v>458</v>
      </c>
      <c r="H812">
        <v>3</v>
      </c>
      <c r="I812">
        <v>549</v>
      </c>
      <c r="J812">
        <v>10</v>
      </c>
      <c r="K812">
        <v>164.7</v>
      </c>
      <c r="L812">
        <v>1482.3</v>
      </c>
      <c r="M812">
        <v>184.02</v>
      </c>
      <c r="N812" t="s">
        <v>34</v>
      </c>
      <c r="O812" t="s">
        <v>95</v>
      </c>
      <c r="P812" t="str">
        <f t="shared" si="24"/>
        <v>Low Value</v>
      </c>
      <c r="Q812" t="str">
        <f t="shared" si="25"/>
        <v>Low</v>
      </c>
      <c r="R812" t="str" cm="1">
        <f t="array" ref="R812">_xlfn.IFS(L812&gt;50000,"Premium",L812&gt;20000,"High",L812&gt;5000,"Medium",TRUE,"Low")</f>
        <v>Low</v>
      </c>
    </row>
    <row r="813" spans="1:18" x14ac:dyDescent="0.3">
      <c r="A813" t="s">
        <v>1645</v>
      </c>
      <c r="B813" s="1">
        <v>45048</v>
      </c>
      <c r="C813" t="s">
        <v>404</v>
      </c>
      <c r="D813" t="s">
        <v>992</v>
      </c>
      <c r="E813" t="s">
        <v>18</v>
      </c>
      <c r="F813" t="s">
        <v>19</v>
      </c>
      <c r="G813" t="s">
        <v>107</v>
      </c>
      <c r="H813">
        <v>5</v>
      </c>
      <c r="I813">
        <v>4500</v>
      </c>
      <c r="J813">
        <v>20</v>
      </c>
      <c r="K813">
        <v>4500</v>
      </c>
      <c r="L813">
        <v>18000</v>
      </c>
      <c r="M813">
        <v>3268.06</v>
      </c>
      <c r="N813" t="s">
        <v>99</v>
      </c>
      <c r="O813" t="s">
        <v>35</v>
      </c>
      <c r="P813" t="str">
        <f t="shared" si="24"/>
        <v>Low Value</v>
      </c>
      <c r="Q813" t="str">
        <f t="shared" si="25"/>
        <v>Medium</v>
      </c>
      <c r="R813" t="str" cm="1">
        <f t="array" ref="R813">_xlfn.IFS(L813&gt;50000,"Premium",L813&gt;20000,"High",L813&gt;5000,"Medium",TRUE,"Low")</f>
        <v>Medium</v>
      </c>
    </row>
    <row r="814" spans="1:18" x14ac:dyDescent="0.3">
      <c r="A814" t="s">
        <v>1646</v>
      </c>
      <c r="B814" s="1">
        <v>44944</v>
      </c>
      <c r="C814" t="s">
        <v>919</v>
      </c>
      <c r="D814" t="s">
        <v>315</v>
      </c>
      <c r="E814" t="s">
        <v>78</v>
      </c>
      <c r="F814" t="s">
        <v>39</v>
      </c>
      <c r="G814" t="s">
        <v>126</v>
      </c>
      <c r="H814">
        <v>1</v>
      </c>
      <c r="I814">
        <v>4200</v>
      </c>
      <c r="J814">
        <v>5</v>
      </c>
      <c r="K814">
        <v>210</v>
      </c>
      <c r="L814">
        <v>3990</v>
      </c>
      <c r="M814">
        <v>273.72000000000003</v>
      </c>
      <c r="N814" t="s">
        <v>21</v>
      </c>
      <c r="O814" t="s">
        <v>22</v>
      </c>
      <c r="P814" t="str">
        <f t="shared" si="24"/>
        <v>Low Value</v>
      </c>
      <c r="Q814" t="str">
        <f t="shared" si="25"/>
        <v>Low</v>
      </c>
      <c r="R814" t="str" cm="1">
        <f t="array" ref="R814">_xlfn.IFS(L814&gt;50000,"Premium",L814&gt;20000,"High",L814&gt;5000,"Medium",TRUE,"Low")</f>
        <v>Low</v>
      </c>
    </row>
    <row r="815" spans="1:18" x14ac:dyDescent="0.3">
      <c r="A815" t="s">
        <v>1647</v>
      </c>
      <c r="B815" s="1">
        <v>44960</v>
      </c>
      <c r="C815" t="s">
        <v>1648</v>
      </c>
      <c r="D815" t="s">
        <v>981</v>
      </c>
      <c r="E815" t="s">
        <v>18</v>
      </c>
      <c r="F815" t="s">
        <v>19</v>
      </c>
      <c r="G815" t="s">
        <v>236</v>
      </c>
      <c r="H815">
        <v>1</v>
      </c>
      <c r="I815">
        <v>800</v>
      </c>
      <c r="J815">
        <v>20</v>
      </c>
      <c r="K815">
        <v>160</v>
      </c>
      <c r="L815">
        <v>640</v>
      </c>
      <c r="M815">
        <v>42.02</v>
      </c>
      <c r="N815" t="s">
        <v>21</v>
      </c>
      <c r="O815" t="s">
        <v>22</v>
      </c>
      <c r="P815" t="str">
        <f t="shared" si="24"/>
        <v>Low Value</v>
      </c>
      <c r="Q815" t="str">
        <f t="shared" si="25"/>
        <v>Low</v>
      </c>
      <c r="R815" t="str" cm="1">
        <f t="array" ref="R815">_xlfn.IFS(L815&gt;50000,"Premium",L815&gt;20000,"High",L815&gt;5000,"Medium",TRUE,"Low")</f>
        <v>Low</v>
      </c>
    </row>
    <row r="816" spans="1:18" x14ac:dyDescent="0.3">
      <c r="A816" t="s">
        <v>1649</v>
      </c>
      <c r="B816" s="1">
        <v>45046</v>
      </c>
      <c r="C816" t="s">
        <v>1650</v>
      </c>
      <c r="D816" t="s">
        <v>164</v>
      </c>
      <c r="E816" t="s">
        <v>18</v>
      </c>
      <c r="F816" t="s">
        <v>49</v>
      </c>
      <c r="G816" t="s">
        <v>331</v>
      </c>
      <c r="H816">
        <v>5</v>
      </c>
      <c r="I816">
        <v>699</v>
      </c>
      <c r="J816">
        <v>0</v>
      </c>
      <c r="K816">
        <v>0</v>
      </c>
      <c r="L816">
        <v>3495</v>
      </c>
      <c r="M816">
        <v>650.15</v>
      </c>
      <c r="N816" t="s">
        <v>34</v>
      </c>
      <c r="O816" t="s">
        <v>35</v>
      </c>
      <c r="P816" t="str">
        <f t="shared" si="24"/>
        <v>Low Value</v>
      </c>
      <c r="Q816" t="str">
        <f t="shared" si="25"/>
        <v>Low</v>
      </c>
      <c r="R816" t="str" cm="1">
        <f t="array" ref="R816">_xlfn.IFS(L816&gt;50000,"Premium",L816&gt;20000,"High",L816&gt;5000,"Medium",TRUE,"Low")</f>
        <v>Low</v>
      </c>
    </row>
    <row r="817" spans="1:18" x14ac:dyDescent="0.3">
      <c r="A817" t="s">
        <v>1651</v>
      </c>
      <c r="B817" s="1">
        <v>45159</v>
      </c>
      <c r="C817" t="s">
        <v>798</v>
      </c>
      <c r="D817" t="s">
        <v>1652</v>
      </c>
      <c r="E817" t="s">
        <v>31</v>
      </c>
      <c r="F817" t="s">
        <v>74</v>
      </c>
      <c r="G817" t="s">
        <v>341</v>
      </c>
      <c r="H817">
        <v>5</v>
      </c>
      <c r="I817">
        <v>700</v>
      </c>
      <c r="J817">
        <v>5</v>
      </c>
      <c r="K817">
        <v>175</v>
      </c>
      <c r="L817">
        <v>3325</v>
      </c>
      <c r="M817">
        <v>273.99</v>
      </c>
      <c r="N817" t="s">
        <v>21</v>
      </c>
      <c r="O817" t="s">
        <v>35</v>
      </c>
      <c r="P817" t="str">
        <f t="shared" si="24"/>
        <v>Low Value</v>
      </c>
      <c r="Q817" t="str">
        <f t="shared" si="25"/>
        <v>Low</v>
      </c>
      <c r="R817" t="str" cm="1">
        <f t="array" ref="R817">_xlfn.IFS(L817&gt;50000,"Premium",L817&gt;20000,"High",L817&gt;5000,"Medium",TRUE,"Low")</f>
        <v>Low</v>
      </c>
    </row>
    <row r="818" spans="1:18" x14ac:dyDescent="0.3">
      <c r="A818" t="s">
        <v>1653</v>
      </c>
      <c r="B818" s="1">
        <v>45253</v>
      </c>
      <c r="C818" t="s">
        <v>286</v>
      </c>
      <c r="D818" t="s">
        <v>1009</v>
      </c>
      <c r="E818" t="s">
        <v>31</v>
      </c>
      <c r="F818" t="s">
        <v>74</v>
      </c>
      <c r="G818" t="s">
        <v>341</v>
      </c>
      <c r="H818">
        <v>3</v>
      </c>
      <c r="I818">
        <v>700</v>
      </c>
      <c r="J818">
        <v>15</v>
      </c>
      <c r="K818">
        <v>315</v>
      </c>
      <c r="L818">
        <v>1785</v>
      </c>
      <c r="M818">
        <v>347.04</v>
      </c>
      <c r="N818" t="s">
        <v>27</v>
      </c>
      <c r="O818" t="s">
        <v>35</v>
      </c>
      <c r="P818" t="str">
        <f t="shared" si="24"/>
        <v>Low Value</v>
      </c>
      <c r="Q818" t="str">
        <f t="shared" si="25"/>
        <v>Low</v>
      </c>
      <c r="R818" t="str" cm="1">
        <f t="array" ref="R818">_xlfn.IFS(L818&gt;50000,"Premium",L818&gt;20000,"High",L818&gt;5000,"Medium",TRUE,"Low")</f>
        <v>Low</v>
      </c>
    </row>
    <row r="819" spans="1:18" x14ac:dyDescent="0.3">
      <c r="A819" t="s">
        <v>1654</v>
      </c>
      <c r="B819" s="1">
        <v>44957</v>
      </c>
      <c r="C819" t="s">
        <v>1335</v>
      </c>
      <c r="D819" t="s">
        <v>659</v>
      </c>
      <c r="E819" t="s">
        <v>83</v>
      </c>
      <c r="F819" t="s">
        <v>69</v>
      </c>
      <c r="G819" t="s">
        <v>275</v>
      </c>
      <c r="H819">
        <v>5</v>
      </c>
      <c r="I819">
        <v>799</v>
      </c>
      <c r="J819">
        <v>15</v>
      </c>
      <c r="K819">
        <v>599.25</v>
      </c>
      <c r="L819">
        <v>3395.75</v>
      </c>
      <c r="M819">
        <v>692.52</v>
      </c>
      <c r="N819" t="s">
        <v>27</v>
      </c>
      <c r="O819" t="s">
        <v>22</v>
      </c>
      <c r="P819" t="str">
        <f t="shared" si="24"/>
        <v>Low Value</v>
      </c>
      <c r="Q819" t="str">
        <f t="shared" si="25"/>
        <v>Low</v>
      </c>
      <c r="R819" t="str" cm="1">
        <f t="array" ref="R819">_xlfn.IFS(L819&gt;50000,"Premium",L819&gt;20000,"High",L819&gt;5000,"Medium",TRUE,"Low")</f>
        <v>Low</v>
      </c>
    </row>
    <row r="820" spans="1:18" x14ac:dyDescent="0.3">
      <c r="A820" t="s">
        <v>1655</v>
      </c>
      <c r="B820" s="1">
        <v>45085</v>
      </c>
      <c r="C820" t="s">
        <v>1055</v>
      </c>
      <c r="D820" t="s">
        <v>1069</v>
      </c>
      <c r="E820" t="s">
        <v>59</v>
      </c>
      <c r="F820" t="s">
        <v>74</v>
      </c>
      <c r="G820" t="s">
        <v>341</v>
      </c>
      <c r="H820">
        <v>3</v>
      </c>
      <c r="I820">
        <v>700</v>
      </c>
      <c r="J820">
        <v>10</v>
      </c>
      <c r="K820">
        <v>210</v>
      </c>
      <c r="L820">
        <v>1890</v>
      </c>
      <c r="M820">
        <v>644.64</v>
      </c>
      <c r="N820" t="s">
        <v>27</v>
      </c>
      <c r="O820" t="s">
        <v>95</v>
      </c>
      <c r="P820" t="str">
        <f t="shared" si="24"/>
        <v>Low Value</v>
      </c>
      <c r="Q820" t="str">
        <f t="shared" si="25"/>
        <v>Low</v>
      </c>
      <c r="R820" t="str" cm="1">
        <f t="array" ref="R820">_xlfn.IFS(L820&gt;50000,"Premium",L820&gt;20000,"High",L820&gt;5000,"Medium",TRUE,"Low")</f>
        <v>Low</v>
      </c>
    </row>
    <row r="821" spans="1:18" x14ac:dyDescent="0.3">
      <c r="A821" t="s">
        <v>1656</v>
      </c>
      <c r="B821" s="1">
        <v>45213</v>
      </c>
      <c r="C821" t="s">
        <v>822</v>
      </c>
      <c r="D821" t="s">
        <v>215</v>
      </c>
      <c r="E821" t="s">
        <v>48</v>
      </c>
      <c r="F821" t="s">
        <v>49</v>
      </c>
      <c r="G821" t="s">
        <v>50</v>
      </c>
      <c r="H821">
        <v>4</v>
      </c>
      <c r="I821">
        <v>499</v>
      </c>
      <c r="J821">
        <v>10</v>
      </c>
      <c r="K821">
        <v>199.6</v>
      </c>
      <c r="L821">
        <v>1796.4</v>
      </c>
      <c r="M821">
        <v>195.13</v>
      </c>
      <c r="N821" t="s">
        <v>27</v>
      </c>
      <c r="O821" t="s">
        <v>22</v>
      </c>
      <c r="P821" t="str">
        <f t="shared" si="24"/>
        <v>Low Value</v>
      </c>
      <c r="Q821" t="str">
        <f t="shared" si="25"/>
        <v>Low</v>
      </c>
      <c r="R821" t="str" cm="1">
        <f t="array" ref="R821">_xlfn.IFS(L821&gt;50000,"Premium",L821&gt;20000,"High",L821&gt;5000,"Medium",TRUE,"Low")</f>
        <v>Low</v>
      </c>
    </row>
    <row r="822" spans="1:18" x14ac:dyDescent="0.3">
      <c r="A822" t="s">
        <v>1657</v>
      </c>
      <c r="B822" s="1">
        <v>45282</v>
      </c>
      <c r="C822" t="s">
        <v>1658</v>
      </c>
      <c r="D822" t="s">
        <v>1659</v>
      </c>
      <c r="E822" t="s">
        <v>78</v>
      </c>
      <c r="F822" t="s">
        <v>60</v>
      </c>
      <c r="G822" t="s">
        <v>365</v>
      </c>
      <c r="H822">
        <v>5</v>
      </c>
      <c r="I822">
        <v>650</v>
      </c>
      <c r="J822">
        <v>25</v>
      </c>
      <c r="K822">
        <v>812.5</v>
      </c>
      <c r="L822">
        <v>2437.5</v>
      </c>
      <c r="M822">
        <v>364.03</v>
      </c>
      <c r="N822" t="s">
        <v>41</v>
      </c>
      <c r="O822" t="s">
        <v>35</v>
      </c>
      <c r="P822" t="str">
        <f t="shared" si="24"/>
        <v>Low Value</v>
      </c>
      <c r="Q822" t="str">
        <f t="shared" si="25"/>
        <v>Low</v>
      </c>
      <c r="R822" t="str" cm="1">
        <f t="array" ref="R822">_xlfn.IFS(L822&gt;50000,"Premium",L822&gt;20000,"High",L822&gt;5000,"Medium",TRUE,"Low")</f>
        <v>Low</v>
      </c>
    </row>
    <row r="823" spans="1:18" x14ac:dyDescent="0.3">
      <c r="A823" t="s">
        <v>1660</v>
      </c>
      <c r="B823" s="1">
        <v>45010</v>
      </c>
      <c r="C823" t="s">
        <v>628</v>
      </c>
      <c r="D823" t="s">
        <v>637</v>
      </c>
      <c r="E823" t="s">
        <v>54</v>
      </c>
      <c r="F823" t="s">
        <v>19</v>
      </c>
      <c r="G823" t="s">
        <v>229</v>
      </c>
      <c r="H823">
        <v>1</v>
      </c>
      <c r="I823">
        <v>8000</v>
      </c>
      <c r="J823">
        <v>15</v>
      </c>
      <c r="K823">
        <v>1200</v>
      </c>
      <c r="L823">
        <v>6800</v>
      </c>
      <c r="M823">
        <v>787.59</v>
      </c>
      <c r="N823" t="s">
        <v>21</v>
      </c>
      <c r="O823" t="s">
        <v>35</v>
      </c>
      <c r="P823" t="str">
        <f t="shared" si="24"/>
        <v>Low Value</v>
      </c>
      <c r="Q823" t="str">
        <f t="shared" si="25"/>
        <v>Medium</v>
      </c>
      <c r="R823" t="str" cm="1">
        <f t="array" ref="R823">_xlfn.IFS(L823&gt;50000,"Premium",L823&gt;20000,"High",L823&gt;5000,"Medium",TRUE,"Low")</f>
        <v>Medium</v>
      </c>
    </row>
    <row r="824" spans="1:18" x14ac:dyDescent="0.3">
      <c r="A824" t="s">
        <v>1661</v>
      </c>
      <c r="B824" s="1">
        <v>45049</v>
      </c>
      <c r="C824" t="s">
        <v>1108</v>
      </c>
      <c r="D824" t="s">
        <v>290</v>
      </c>
      <c r="E824" t="s">
        <v>48</v>
      </c>
      <c r="F824" t="s">
        <v>39</v>
      </c>
      <c r="G824" t="s">
        <v>213</v>
      </c>
      <c r="H824">
        <v>3</v>
      </c>
      <c r="I824">
        <v>15000</v>
      </c>
      <c r="J824">
        <v>25</v>
      </c>
      <c r="K824">
        <v>11250</v>
      </c>
      <c r="L824">
        <v>33750</v>
      </c>
      <c r="M824">
        <v>5493.61</v>
      </c>
      <c r="N824" t="s">
        <v>99</v>
      </c>
      <c r="O824" t="s">
        <v>35</v>
      </c>
      <c r="P824" t="str">
        <f t="shared" si="24"/>
        <v>High Value</v>
      </c>
      <c r="Q824" t="str">
        <f t="shared" si="25"/>
        <v>High</v>
      </c>
      <c r="R824" t="str" cm="1">
        <f t="array" ref="R824">_xlfn.IFS(L824&gt;50000,"Premium",L824&gt;20000,"High",L824&gt;5000,"Medium",TRUE,"Low")</f>
        <v>High</v>
      </c>
    </row>
    <row r="825" spans="1:18" x14ac:dyDescent="0.3">
      <c r="A825" t="s">
        <v>1662</v>
      </c>
      <c r="B825" s="1">
        <v>45110</v>
      </c>
      <c r="C825" t="s">
        <v>1101</v>
      </c>
      <c r="D825" t="s">
        <v>1663</v>
      </c>
      <c r="E825" t="s">
        <v>59</v>
      </c>
      <c r="F825" t="s">
        <v>19</v>
      </c>
      <c r="G825" t="s">
        <v>130</v>
      </c>
      <c r="H825">
        <v>1</v>
      </c>
      <c r="I825">
        <v>22000</v>
      </c>
      <c r="J825">
        <v>5</v>
      </c>
      <c r="K825">
        <v>1100</v>
      </c>
      <c r="L825">
        <v>20900</v>
      </c>
      <c r="M825">
        <v>2866.91</v>
      </c>
      <c r="N825" t="s">
        <v>99</v>
      </c>
      <c r="O825" t="s">
        <v>35</v>
      </c>
      <c r="P825" t="str">
        <f t="shared" si="24"/>
        <v>High Value</v>
      </c>
      <c r="Q825" t="str">
        <f t="shared" si="25"/>
        <v>High</v>
      </c>
      <c r="R825" t="str" cm="1">
        <f t="array" ref="R825">_xlfn.IFS(L825&gt;50000,"Premium",L825&gt;20000,"High",L825&gt;5000,"Medium",TRUE,"Low")</f>
        <v>High</v>
      </c>
    </row>
    <row r="826" spans="1:18" x14ac:dyDescent="0.3">
      <c r="A826" t="s">
        <v>1664</v>
      </c>
      <c r="B826" s="1">
        <v>45028</v>
      </c>
      <c r="C826" t="s">
        <v>113</v>
      </c>
      <c r="D826" t="s">
        <v>1331</v>
      </c>
      <c r="E826" t="s">
        <v>83</v>
      </c>
      <c r="F826" t="s">
        <v>32</v>
      </c>
      <c r="G826" t="s">
        <v>148</v>
      </c>
      <c r="H826">
        <v>2</v>
      </c>
      <c r="I826">
        <v>120</v>
      </c>
      <c r="J826">
        <v>10</v>
      </c>
      <c r="K826">
        <v>24</v>
      </c>
      <c r="L826">
        <v>216</v>
      </c>
      <c r="M826">
        <v>57.38</v>
      </c>
      <c r="N826" t="s">
        <v>27</v>
      </c>
      <c r="O826" t="s">
        <v>35</v>
      </c>
      <c r="P826" t="str">
        <f t="shared" si="24"/>
        <v>Low Value</v>
      </c>
      <c r="Q826" t="str">
        <f t="shared" si="25"/>
        <v>Low</v>
      </c>
      <c r="R826" t="str" cm="1">
        <f t="array" ref="R826">_xlfn.IFS(L826&gt;50000,"Premium",L826&gt;20000,"High",L826&gt;5000,"Medium",TRUE,"Low")</f>
        <v>Low</v>
      </c>
    </row>
    <row r="827" spans="1:18" x14ac:dyDescent="0.3">
      <c r="A827" t="s">
        <v>1665</v>
      </c>
      <c r="B827" s="1">
        <v>45017</v>
      </c>
      <c r="C827" t="s">
        <v>568</v>
      </c>
      <c r="D827" t="s">
        <v>1636</v>
      </c>
      <c r="E827" t="s">
        <v>48</v>
      </c>
      <c r="F827" t="s">
        <v>49</v>
      </c>
      <c r="G827" t="s">
        <v>161</v>
      </c>
      <c r="H827">
        <v>1</v>
      </c>
      <c r="I827">
        <v>599</v>
      </c>
      <c r="J827">
        <v>0</v>
      </c>
      <c r="K827">
        <v>0</v>
      </c>
      <c r="L827">
        <v>599</v>
      </c>
      <c r="M827">
        <v>179.36</v>
      </c>
      <c r="N827" t="s">
        <v>27</v>
      </c>
      <c r="O827" t="s">
        <v>35</v>
      </c>
      <c r="P827" t="str">
        <f t="shared" si="24"/>
        <v>Low Value</v>
      </c>
      <c r="Q827" t="str">
        <f t="shared" si="25"/>
        <v>Low</v>
      </c>
      <c r="R827" t="str" cm="1">
        <f t="array" ref="R827">_xlfn.IFS(L827&gt;50000,"Premium",L827&gt;20000,"High",L827&gt;5000,"Medium",TRUE,"Low")</f>
        <v>Low</v>
      </c>
    </row>
    <row r="828" spans="1:18" x14ac:dyDescent="0.3">
      <c r="A828" t="s">
        <v>1666</v>
      </c>
      <c r="B828" s="1">
        <v>45160</v>
      </c>
      <c r="C828" t="s">
        <v>1667</v>
      </c>
      <c r="D828" t="s">
        <v>1486</v>
      </c>
      <c r="E828" t="s">
        <v>18</v>
      </c>
      <c r="F828" t="s">
        <v>69</v>
      </c>
      <c r="G828" t="s">
        <v>275</v>
      </c>
      <c r="H828">
        <v>3</v>
      </c>
      <c r="I828">
        <v>799</v>
      </c>
      <c r="J828">
        <v>25</v>
      </c>
      <c r="K828">
        <v>599.25</v>
      </c>
      <c r="L828">
        <v>1797.75</v>
      </c>
      <c r="M828">
        <v>182.31</v>
      </c>
      <c r="N828" t="s">
        <v>99</v>
      </c>
      <c r="O828" t="s">
        <v>35</v>
      </c>
      <c r="P828" t="str">
        <f t="shared" si="24"/>
        <v>Low Value</v>
      </c>
      <c r="Q828" t="str">
        <f t="shared" si="25"/>
        <v>Low</v>
      </c>
      <c r="R828" t="str" cm="1">
        <f t="array" ref="R828">_xlfn.IFS(L828&gt;50000,"Premium",L828&gt;20000,"High",L828&gt;5000,"Medium",TRUE,"Low")</f>
        <v>Low</v>
      </c>
    </row>
    <row r="829" spans="1:18" x14ac:dyDescent="0.3">
      <c r="A829" t="s">
        <v>1668</v>
      </c>
      <c r="B829" s="1">
        <v>44993</v>
      </c>
      <c r="C829" t="s">
        <v>86</v>
      </c>
      <c r="D829" t="s">
        <v>182</v>
      </c>
      <c r="E829" t="s">
        <v>26</v>
      </c>
      <c r="F829" t="s">
        <v>49</v>
      </c>
      <c r="G829" t="s">
        <v>94</v>
      </c>
      <c r="H829">
        <v>2</v>
      </c>
      <c r="I829">
        <v>399</v>
      </c>
      <c r="J829">
        <v>20</v>
      </c>
      <c r="K829">
        <v>159.6</v>
      </c>
      <c r="L829">
        <v>638.4</v>
      </c>
      <c r="M829">
        <v>104.35</v>
      </c>
      <c r="N829" t="s">
        <v>27</v>
      </c>
      <c r="O829" t="s">
        <v>35</v>
      </c>
      <c r="P829" t="str">
        <f t="shared" si="24"/>
        <v>Low Value</v>
      </c>
      <c r="Q829" t="str">
        <f t="shared" si="25"/>
        <v>Low</v>
      </c>
      <c r="R829" t="str" cm="1">
        <f t="array" ref="R829">_xlfn.IFS(L829&gt;50000,"Premium",L829&gt;20000,"High",L829&gt;5000,"Medium",TRUE,"Low")</f>
        <v>Low</v>
      </c>
    </row>
    <row r="830" spans="1:18" x14ac:dyDescent="0.3">
      <c r="A830" t="s">
        <v>1669</v>
      </c>
      <c r="B830" s="1">
        <v>45242</v>
      </c>
      <c r="C830" t="s">
        <v>694</v>
      </c>
      <c r="D830" t="s">
        <v>580</v>
      </c>
      <c r="E830" t="s">
        <v>78</v>
      </c>
      <c r="F830" t="s">
        <v>74</v>
      </c>
      <c r="G830" t="s">
        <v>381</v>
      </c>
      <c r="H830">
        <v>5</v>
      </c>
      <c r="I830">
        <v>800</v>
      </c>
      <c r="J830">
        <v>10</v>
      </c>
      <c r="K830">
        <v>400</v>
      </c>
      <c r="L830">
        <v>3600</v>
      </c>
      <c r="M830">
        <v>1032.75</v>
      </c>
      <c r="N830" t="s">
        <v>27</v>
      </c>
      <c r="O830" t="s">
        <v>95</v>
      </c>
      <c r="P830" t="str">
        <f t="shared" si="24"/>
        <v>Low Value</v>
      </c>
      <c r="Q830" t="str">
        <f t="shared" si="25"/>
        <v>Low</v>
      </c>
      <c r="R830" t="str" cm="1">
        <f t="array" ref="R830">_xlfn.IFS(L830&gt;50000,"Premium",L830&gt;20000,"High",L830&gt;5000,"Medium",TRUE,"Low")</f>
        <v>Low</v>
      </c>
    </row>
    <row r="831" spans="1:18" x14ac:dyDescent="0.3">
      <c r="A831" t="s">
        <v>1670</v>
      </c>
      <c r="B831" s="1">
        <v>45226</v>
      </c>
      <c r="C831" t="s">
        <v>852</v>
      </c>
      <c r="D831" t="s">
        <v>448</v>
      </c>
      <c r="E831" t="s">
        <v>26</v>
      </c>
      <c r="F831" t="s">
        <v>39</v>
      </c>
      <c r="G831" t="s">
        <v>84</v>
      </c>
      <c r="H831">
        <v>1</v>
      </c>
      <c r="I831">
        <v>6500</v>
      </c>
      <c r="J831">
        <v>15</v>
      </c>
      <c r="K831">
        <v>975</v>
      </c>
      <c r="L831">
        <v>5525</v>
      </c>
      <c r="M831">
        <v>1587.33</v>
      </c>
      <c r="N831" t="s">
        <v>21</v>
      </c>
      <c r="O831" t="s">
        <v>35</v>
      </c>
      <c r="P831" t="str">
        <f t="shared" si="24"/>
        <v>Low Value</v>
      </c>
      <c r="Q831" t="str">
        <f t="shared" si="25"/>
        <v>Medium</v>
      </c>
      <c r="R831" t="str" cm="1">
        <f t="array" ref="R831">_xlfn.IFS(L831&gt;50000,"Premium",L831&gt;20000,"High",L831&gt;5000,"Medium",TRUE,"Low")</f>
        <v>Medium</v>
      </c>
    </row>
    <row r="832" spans="1:18" x14ac:dyDescent="0.3">
      <c r="A832" t="s">
        <v>1671</v>
      </c>
      <c r="B832" s="1">
        <v>45182</v>
      </c>
      <c r="C832" t="s">
        <v>1667</v>
      </c>
      <c r="D832" t="s">
        <v>264</v>
      </c>
      <c r="E832" t="s">
        <v>54</v>
      </c>
      <c r="F832" t="s">
        <v>74</v>
      </c>
      <c r="G832" t="s">
        <v>75</v>
      </c>
      <c r="H832">
        <v>2</v>
      </c>
      <c r="I832">
        <v>2200</v>
      </c>
      <c r="J832">
        <v>10</v>
      </c>
      <c r="K832">
        <v>440</v>
      </c>
      <c r="L832">
        <v>3960</v>
      </c>
      <c r="M832">
        <v>1044.43</v>
      </c>
      <c r="N832" t="s">
        <v>34</v>
      </c>
      <c r="O832" t="s">
        <v>95</v>
      </c>
      <c r="P832" t="str">
        <f t="shared" si="24"/>
        <v>Low Value</v>
      </c>
      <c r="Q832" t="str">
        <f t="shared" si="25"/>
        <v>Low</v>
      </c>
      <c r="R832" t="str" cm="1">
        <f t="array" ref="R832">_xlfn.IFS(L832&gt;50000,"Premium",L832&gt;20000,"High",L832&gt;5000,"Medium",TRUE,"Low")</f>
        <v>Low</v>
      </c>
    </row>
    <row r="833" spans="1:18" x14ac:dyDescent="0.3">
      <c r="A833" t="s">
        <v>1672</v>
      </c>
      <c r="B833" s="1">
        <v>45132</v>
      </c>
      <c r="C833" t="s">
        <v>200</v>
      </c>
      <c r="D833" t="s">
        <v>718</v>
      </c>
      <c r="E833" t="s">
        <v>31</v>
      </c>
      <c r="F833" t="s">
        <v>60</v>
      </c>
      <c r="G833" t="s">
        <v>349</v>
      </c>
      <c r="H833">
        <v>5</v>
      </c>
      <c r="I833">
        <v>250</v>
      </c>
      <c r="J833">
        <v>25</v>
      </c>
      <c r="K833">
        <v>312.5</v>
      </c>
      <c r="L833">
        <v>937.5</v>
      </c>
      <c r="M833">
        <v>57.17</v>
      </c>
      <c r="N833" t="s">
        <v>41</v>
      </c>
      <c r="O833" t="s">
        <v>35</v>
      </c>
      <c r="P833" t="str">
        <f t="shared" si="24"/>
        <v>Low Value</v>
      </c>
      <c r="Q833" t="str">
        <f t="shared" si="25"/>
        <v>Low</v>
      </c>
      <c r="R833" t="str" cm="1">
        <f t="array" ref="R833">_xlfn.IFS(L833&gt;50000,"Premium",L833&gt;20000,"High",L833&gt;5000,"Medium",TRUE,"Low")</f>
        <v>Low</v>
      </c>
    </row>
    <row r="834" spans="1:18" x14ac:dyDescent="0.3">
      <c r="A834" t="s">
        <v>1673</v>
      </c>
      <c r="B834" s="1">
        <v>45083</v>
      </c>
      <c r="C834" t="s">
        <v>86</v>
      </c>
      <c r="D834" t="s">
        <v>1044</v>
      </c>
      <c r="E834" t="s">
        <v>18</v>
      </c>
      <c r="F834" t="s">
        <v>39</v>
      </c>
      <c r="G834" t="s">
        <v>219</v>
      </c>
      <c r="H834">
        <v>5</v>
      </c>
      <c r="I834">
        <v>18000</v>
      </c>
      <c r="J834">
        <v>5</v>
      </c>
      <c r="K834">
        <v>4500</v>
      </c>
      <c r="L834">
        <v>85500</v>
      </c>
      <c r="M834">
        <v>28270.55</v>
      </c>
      <c r="N834" t="s">
        <v>27</v>
      </c>
      <c r="O834" t="s">
        <v>35</v>
      </c>
      <c r="P834" t="str">
        <f t="shared" si="24"/>
        <v>High Value</v>
      </c>
      <c r="Q834" t="str">
        <f t="shared" si="25"/>
        <v>Premium</v>
      </c>
      <c r="R834" t="str" cm="1">
        <f t="array" ref="R834">_xlfn.IFS(L834&gt;50000,"Premium",L834&gt;20000,"High",L834&gt;5000,"Medium",TRUE,"Low")</f>
        <v>Premium</v>
      </c>
    </row>
    <row r="835" spans="1:18" x14ac:dyDescent="0.3">
      <c r="A835" t="s">
        <v>1674</v>
      </c>
      <c r="B835" s="1">
        <v>45078</v>
      </c>
      <c r="C835" t="s">
        <v>255</v>
      </c>
      <c r="D835" t="s">
        <v>582</v>
      </c>
      <c r="E835" t="s">
        <v>48</v>
      </c>
      <c r="F835" t="s">
        <v>39</v>
      </c>
      <c r="G835" t="s">
        <v>79</v>
      </c>
      <c r="H835">
        <v>3</v>
      </c>
      <c r="I835">
        <v>25000</v>
      </c>
      <c r="J835">
        <v>5</v>
      </c>
      <c r="K835">
        <v>3750</v>
      </c>
      <c r="L835">
        <v>71250</v>
      </c>
      <c r="M835">
        <v>16044.69</v>
      </c>
      <c r="N835" t="s">
        <v>41</v>
      </c>
      <c r="O835" t="s">
        <v>22</v>
      </c>
      <c r="P835" t="str">
        <f t="shared" ref="P835:P898" si="26">IF(L835&gt;20000,"High Value","Low Value")</f>
        <v>High Value</v>
      </c>
      <c r="Q835" t="str">
        <f t="shared" ref="Q835:Q898" si="27">IF(L835&gt;50000,"Premium",IF(L835&gt;20000,"High",IF(L835&gt;5000,"Medium","Low")))</f>
        <v>Premium</v>
      </c>
      <c r="R835" t="str" cm="1">
        <f t="array" ref="R835">_xlfn.IFS(L835&gt;50000,"Premium",L835&gt;20000,"High",L835&gt;5000,"Medium",TRUE,"Low")</f>
        <v>Premium</v>
      </c>
    </row>
    <row r="836" spans="1:18" x14ac:dyDescent="0.3">
      <c r="A836" t="s">
        <v>1675</v>
      </c>
      <c r="B836" s="1">
        <v>45166</v>
      </c>
      <c r="C836" t="s">
        <v>336</v>
      </c>
      <c r="D836" t="s">
        <v>1153</v>
      </c>
      <c r="E836" t="s">
        <v>54</v>
      </c>
      <c r="F836" t="s">
        <v>39</v>
      </c>
      <c r="G836" t="s">
        <v>219</v>
      </c>
      <c r="H836">
        <v>3</v>
      </c>
      <c r="I836">
        <v>18000</v>
      </c>
      <c r="J836">
        <v>15</v>
      </c>
      <c r="K836">
        <v>8100</v>
      </c>
      <c r="L836">
        <v>45900</v>
      </c>
      <c r="M836">
        <v>6660.37</v>
      </c>
      <c r="N836" t="s">
        <v>27</v>
      </c>
      <c r="O836" t="s">
        <v>35</v>
      </c>
      <c r="P836" t="str">
        <f t="shared" si="26"/>
        <v>High Value</v>
      </c>
      <c r="Q836" t="str">
        <f t="shared" si="27"/>
        <v>High</v>
      </c>
      <c r="R836" t="str" cm="1">
        <f t="array" ref="R836">_xlfn.IFS(L836&gt;50000,"Premium",L836&gt;20000,"High",L836&gt;5000,"Medium",TRUE,"Low")</f>
        <v>High</v>
      </c>
    </row>
    <row r="837" spans="1:18" x14ac:dyDescent="0.3">
      <c r="A837" t="s">
        <v>1676</v>
      </c>
      <c r="B837" s="1">
        <v>45257</v>
      </c>
      <c r="C837" t="s">
        <v>427</v>
      </c>
      <c r="D837" t="s">
        <v>1603</v>
      </c>
      <c r="E837" t="s">
        <v>78</v>
      </c>
      <c r="F837" t="s">
        <v>19</v>
      </c>
      <c r="G837" t="s">
        <v>103</v>
      </c>
      <c r="H837">
        <v>1</v>
      </c>
      <c r="I837">
        <v>3500</v>
      </c>
      <c r="J837">
        <v>10</v>
      </c>
      <c r="K837">
        <v>350</v>
      </c>
      <c r="L837">
        <v>3150</v>
      </c>
      <c r="M837">
        <v>953.76</v>
      </c>
      <c r="N837" t="s">
        <v>27</v>
      </c>
      <c r="O837" t="s">
        <v>35</v>
      </c>
      <c r="P837" t="str">
        <f t="shared" si="26"/>
        <v>Low Value</v>
      </c>
      <c r="Q837" t="str">
        <f t="shared" si="27"/>
        <v>Low</v>
      </c>
      <c r="R837" t="str" cm="1">
        <f t="array" ref="R837">_xlfn.IFS(L837&gt;50000,"Premium",L837&gt;20000,"High",L837&gt;5000,"Medium",TRUE,"Low")</f>
        <v>Low</v>
      </c>
    </row>
    <row r="838" spans="1:18" x14ac:dyDescent="0.3">
      <c r="A838" t="s">
        <v>1677</v>
      </c>
      <c r="B838" s="1">
        <v>44987</v>
      </c>
      <c r="C838" t="s">
        <v>1678</v>
      </c>
      <c r="D838" t="s">
        <v>666</v>
      </c>
      <c r="E838" t="s">
        <v>78</v>
      </c>
      <c r="F838" t="s">
        <v>19</v>
      </c>
      <c r="G838" t="s">
        <v>103</v>
      </c>
      <c r="H838">
        <v>1</v>
      </c>
      <c r="I838">
        <v>3500</v>
      </c>
      <c r="J838">
        <v>20</v>
      </c>
      <c r="K838">
        <v>700</v>
      </c>
      <c r="L838">
        <v>2800</v>
      </c>
      <c r="M838">
        <v>308.26</v>
      </c>
      <c r="N838" t="s">
        <v>34</v>
      </c>
      <c r="O838" t="s">
        <v>35</v>
      </c>
      <c r="P838" t="str">
        <f t="shared" si="26"/>
        <v>Low Value</v>
      </c>
      <c r="Q838" t="str">
        <f t="shared" si="27"/>
        <v>Low</v>
      </c>
      <c r="R838" t="str" cm="1">
        <f t="array" ref="R838">_xlfn.IFS(L838&gt;50000,"Premium",L838&gt;20000,"High",L838&gt;5000,"Medium",TRUE,"Low")</f>
        <v>Low</v>
      </c>
    </row>
    <row r="839" spans="1:18" x14ac:dyDescent="0.3">
      <c r="A839" t="s">
        <v>1679</v>
      </c>
      <c r="B839" s="1">
        <v>45288</v>
      </c>
      <c r="C839" t="s">
        <v>347</v>
      </c>
      <c r="D839" t="s">
        <v>1370</v>
      </c>
      <c r="E839" t="s">
        <v>26</v>
      </c>
      <c r="F839" t="s">
        <v>74</v>
      </c>
      <c r="G839" t="s">
        <v>381</v>
      </c>
      <c r="H839">
        <v>5</v>
      </c>
      <c r="I839">
        <v>800</v>
      </c>
      <c r="J839">
        <v>10</v>
      </c>
      <c r="K839">
        <v>400</v>
      </c>
      <c r="L839">
        <v>3600</v>
      </c>
      <c r="M839">
        <v>189.22</v>
      </c>
      <c r="N839" t="s">
        <v>41</v>
      </c>
      <c r="O839" t="s">
        <v>95</v>
      </c>
      <c r="P839" t="str">
        <f t="shared" si="26"/>
        <v>Low Value</v>
      </c>
      <c r="Q839" t="str">
        <f t="shared" si="27"/>
        <v>Low</v>
      </c>
      <c r="R839" t="str" cm="1">
        <f t="array" ref="R839">_xlfn.IFS(L839&gt;50000,"Premium",L839&gt;20000,"High",L839&gt;5000,"Medium",TRUE,"Low")</f>
        <v>Low</v>
      </c>
    </row>
    <row r="840" spans="1:18" x14ac:dyDescent="0.3">
      <c r="A840" t="s">
        <v>1680</v>
      </c>
      <c r="B840" s="1">
        <v>45262</v>
      </c>
      <c r="C840" t="s">
        <v>1681</v>
      </c>
      <c r="D840" t="s">
        <v>364</v>
      </c>
      <c r="E840" t="s">
        <v>54</v>
      </c>
      <c r="F840" t="s">
        <v>19</v>
      </c>
      <c r="G840" t="s">
        <v>229</v>
      </c>
      <c r="H840">
        <v>5</v>
      </c>
      <c r="I840">
        <v>8000</v>
      </c>
      <c r="J840">
        <v>5</v>
      </c>
      <c r="K840">
        <v>2000</v>
      </c>
      <c r="L840">
        <v>38000</v>
      </c>
      <c r="M840">
        <v>11766.31</v>
      </c>
      <c r="N840" t="s">
        <v>27</v>
      </c>
      <c r="O840" t="s">
        <v>95</v>
      </c>
      <c r="P840" t="str">
        <f t="shared" si="26"/>
        <v>High Value</v>
      </c>
      <c r="Q840" t="str">
        <f t="shared" si="27"/>
        <v>High</v>
      </c>
      <c r="R840" t="str" cm="1">
        <f t="array" ref="R840">_xlfn.IFS(L840&gt;50000,"Premium",L840&gt;20000,"High",L840&gt;5000,"Medium",TRUE,"Low")</f>
        <v>High</v>
      </c>
    </row>
    <row r="841" spans="1:18" x14ac:dyDescent="0.3">
      <c r="A841" t="s">
        <v>1682</v>
      </c>
      <c r="B841" s="1">
        <v>45227</v>
      </c>
      <c r="C841" t="s">
        <v>29</v>
      </c>
      <c r="D841" t="s">
        <v>344</v>
      </c>
      <c r="E841" t="s">
        <v>31</v>
      </c>
      <c r="F841" t="s">
        <v>49</v>
      </c>
      <c r="G841" t="s">
        <v>331</v>
      </c>
      <c r="H841">
        <v>4</v>
      </c>
      <c r="I841">
        <v>699</v>
      </c>
      <c r="J841">
        <v>25</v>
      </c>
      <c r="K841">
        <v>699</v>
      </c>
      <c r="L841">
        <v>2097</v>
      </c>
      <c r="M841">
        <v>617.19000000000005</v>
      </c>
      <c r="N841" t="s">
        <v>41</v>
      </c>
      <c r="O841" t="s">
        <v>22</v>
      </c>
      <c r="P841" t="str">
        <f t="shared" si="26"/>
        <v>Low Value</v>
      </c>
      <c r="Q841" t="str">
        <f t="shared" si="27"/>
        <v>Low</v>
      </c>
      <c r="R841" t="str" cm="1">
        <f t="array" ref="R841">_xlfn.IFS(L841&gt;50000,"Premium",L841&gt;20000,"High",L841&gt;5000,"Medium",TRUE,"Low")</f>
        <v>Low</v>
      </c>
    </row>
    <row r="842" spans="1:18" x14ac:dyDescent="0.3">
      <c r="A842" t="s">
        <v>1683</v>
      </c>
      <c r="B842" s="1">
        <v>45034</v>
      </c>
      <c r="C842" t="s">
        <v>1318</v>
      </c>
      <c r="D842" t="s">
        <v>1460</v>
      </c>
      <c r="E842" t="s">
        <v>59</v>
      </c>
      <c r="F842" t="s">
        <v>39</v>
      </c>
      <c r="G842" t="s">
        <v>219</v>
      </c>
      <c r="H842">
        <v>5</v>
      </c>
      <c r="I842">
        <v>18000</v>
      </c>
      <c r="J842">
        <v>0</v>
      </c>
      <c r="K842">
        <v>0</v>
      </c>
      <c r="L842">
        <v>90000</v>
      </c>
      <c r="M842">
        <v>14616.9</v>
      </c>
      <c r="N842" t="s">
        <v>41</v>
      </c>
      <c r="O842" t="s">
        <v>35</v>
      </c>
      <c r="P842" t="str">
        <f t="shared" si="26"/>
        <v>High Value</v>
      </c>
      <c r="Q842" t="str">
        <f t="shared" si="27"/>
        <v>Premium</v>
      </c>
      <c r="R842" t="str" cm="1">
        <f t="array" ref="R842">_xlfn.IFS(L842&gt;50000,"Premium",L842&gt;20000,"High",L842&gt;5000,"Medium",TRUE,"Low")</f>
        <v>Premium</v>
      </c>
    </row>
    <row r="843" spans="1:18" x14ac:dyDescent="0.3">
      <c r="A843" t="s">
        <v>1684</v>
      </c>
      <c r="B843" s="1">
        <v>45100</v>
      </c>
      <c r="C843" t="s">
        <v>1627</v>
      </c>
      <c r="D843" t="s">
        <v>676</v>
      </c>
      <c r="E843" t="s">
        <v>48</v>
      </c>
      <c r="F843" t="s">
        <v>69</v>
      </c>
      <c r="G843" t="s">
        <v>119</v>
      </c>
      <c r="H843">
        <v>4</v>
      </c>
      <c r="I843">
        <v>2500</v>
      </c>
      <c r="J843">
        <v>25</v>
      </c>
      <c r="K843">
        <v>2500</v>
      </c>
      <c r="L843">
        <v>7500</v>
      </c>
      <c r="M843">
        <v>2068.41</v>
      </c>
      <c r="N843" t="s">
        <v>21</v>
      </c>
      <c r="O843" t="s">
        <v>35</v>
      </c>
      <c r="P843" t="str">
        <f t="shared" si="26"/>
        <v>Low Value</v>
      </c>
      <c r="Q843" t="str">
        <f t="shared" si="27"/>
        <v>Medium</v>
      </c>
      <c r="R843" t="str" cm="1">
        <f t="array" ref="R843">_xlfn.IFS(L843&gt;50000,"Premium",L843&gt;20000,"High",L843&gt;5000,"Medium",TRUE,"Low")</f>
        <v>Medium</v>
      </c>
    </row>
    <row r="844" spans="1:18" x14ac:dyDescent="0.3">
      <c r="A844" t="s">
        <v>1685</v>
      </c>
      <c r="B844" s="1">
        <v>45217</v>
      </c>
      <c r="C844" t="s">
        <v>902</v>
      </c>
      <c r="D844" t="s">
        <v>888</v>
      </c>
      <c r="E844" t="s">
        <v>26</v>
      </c>
      <c r="F844" t="s">
        <v>49</v>
      </c>
      <c r="G844" t="s">
        <v>50</v>
      </c>
      <c r="H844">
        <v>2</v>
      </c>
      <c r="I844">
        <v>499</v>
      </c>
      <c r="J844">
        <v>5</v>
      </c>
      <c r="K844">
        <v>49.9</v>
      </c>
      <c r="L844">
        <v>948.1</v>
      </c>
      <c r="M844">
        <v>325.36</v>
      </c>
      <c r="N844" t="s">
        <v>41</v>
      </c>
      <c r="O844" t="s">
        <v>35</v>
      </c>
      <c r="P844" t="str">
        <f t="shared" si="26"/>
        <v>Low Value</v>
      </c>
      <c r="Q844" t="str">
        <f t="shared" si="27"/>
        <v>Low</v>
      </c>
      <c r="R844" t="str" cm="1">
        <f t="array" ref="R844">_xlfn.IFS(L844&gt;50000,"Premium",L844&gt;20000,"High",L844&gt;5000,"Medium",TRUE,"Low")</f>
        <v>Low</v>
      </c>
    </row>
    <row r="845" spans="1:18" x14ac:dyDescent="0.3">
      <c r="A845" t="s">
        <v>1686</v>
      </c>
      <c r="B845" s="1">
        <v>45127</v>
      </c>
      <c r="C845" t="s">
        <v>1687</v>
      </c>
      <c r="D845" t="s">
        <v>1289</v>
      </c>
      <c r="E845" t="s">
        <v>78</v>
      </c>
      <c r="F845" t="s">
        <v>19</v>
      </c>
      <c r="G845" t="s">
        <v>130</v>
      </c>
      <c r="H845">
        <v>4</v>
      </c>
      <c r="I845">
        <v>22000</v>
      </c>
      <c r="J845">
        <v>5</v>
      </c>
      <c r="K845">
        <v>4400</v>
      </c>
      <c r="L845">
        <v>83600</v>
      </c>
      <c r="M845">
        <v>16087.42</v>
      </c>
      <c r="N845" t="s">
        <v>99</v>
      </c>
      <c r="O845" t="s">
        <v>35</v>
      </c>
      <c r="P845" t="str">
        <f t="shared" si="26"/>
        <v>High Value</v>
      </c>
      <c r="Q845" t="str">
        <f t="shared" si="27"/>
        <v>Premium</v>
      </c>
      <c r="R845" t="str" cm="1">
        <f t="array" ref="R845">_xlfn.IFS(L845&gt;50000,"Premium",L845&gt;20000,"High",L845&gt;5000,"Medium",TRUE,"Low")</f>
        <v>Premium</v>
      </c>
    </row>
    <row r="846" spans="1:18" x14ac:dyDescent="0.3">
      <c r="A846" t="s">
        <v>1688</v>
      </c>
      <c r="B846" s="1">
        <v>44980</v>
      </c>
      <c r="C846" t="s">
        <v>1064</v>
      </c>
      <c r="D846" t="s">
        <v>1689</v>
      </c>
      <c r="E846" t="s">
        <v>83</v>
      </c>
      <c r="F846" t="s">
        <v>60</v>
      </c>
      <c r="G846" t="s">
        <v>61</v>
      </c>
      <c r="H846">
        <v>2</v>
      </c>
      <c r="I846">
        <v>850</v>
      </c>
      <c r="J846">
        <v>0</v>
      </c>
      <c r="K846">
        <v>0</v>
      </c>
      <c r="L846">
        <v>1700</v>
      </c>
      <c r="M846">
        <v>506.5</v>
      </c>
      <c r="N846" t="s">
        <v>27</v>
      </c>
      <c r="O846" t="s">
        <v>35</v>
      </c>
      <c r="P846" t="str">
        <f t="shared" si="26"/>
        <v>Low Value</v>
      </c>
      <c r="Q846" t="str">
        <f t="shared" si="27"/>
        <v>Low</v>
      </c>
      <c r="R846" t="str" cm="1">
        <f t="array" ref="R846">_xlfn.IFS(L846&gt;50000,"Premium",L846&gt;20000,"High",L846&gt;5000,"Medium",TRUE,"Low")</f>
        <v>Low</v>
      </c>
    </row>
    <row r="847" spans="1:18" x14ac:dyDescent="0.3">
      <c r="A847" t="s">
        <v>1690</v>
      </c>
      <c r="B847" s="1">
        <v>45124</v>
      </c>
      <c r="C847" t="s">
        <v>173</v>
      </c>
      <c r="D847" t="s">
        <v>315</v>
      </c>
      <c r="E847" t="s">
        <v>48</v>
      </c>
      <c r="F847" t="s">
        <v>32</v>
      </c>
      <c r="G847" t="s">
        <v>148</v>
      </c>
      <c r="H847">
        <v>2</v>
      </c>
      <c r="I847">
        <v>120</v>
      </c>
      <c r="J847">
        <v>10</v>
      </c>
      <c r="K847">
        <v>24</v>
      </c>
      <c r="L847">
        <v>216</v>
      </c>
      <c r="M847">
        <v>53.54</v>
      </c>
      <c r="N847" t="s">
        <v>21</v>
      </c>
      <c r="O847" t="s">
        <v>35</v>
      </c>
      <c r="P847" t="str">
        <f t="shared" si="26"/>
        <v>Low Value</v>
      </c>
      <c r="Q847" t="str">
        <f t="shared" si="27"/>
        <v>Low</v>
      </c>
      <c r="R847" t="str" cm="1">
        <f t="array" ref="R847">_xlfn.IFS(L847&gt;50000,"Premium",L847&gt;20000,"High",L847&gt;5000,"Medium",TRUE,"Low")</f>
        <v>Low</v>
      </c>
    </row>
    <row r="848" spans="1:18" x14ac:dyDescent="0.3">
      <c r="A848" t="s">
        <v>1691</v>
      </c>
      <c r="B848" s="1">
        <v>45014</v>
      </c>
      <c r="C848" t="s">
        <v>1150</v>
      </c>
      <c r="D848" t="s">
        <v>1524</v>
      </c>
      <c r="E848" t="s">
        <v>26</v>
      </c>
      <c r="F848" t="s">
        <v>32</v>
      </c>
      <c r="G848" t="s">
        <v>33</v>
      </c>
      <c r="H848">
        <v>4</v>
      </c>
      <c r="I848">
        <v>400</v>
      </c>
      <c r="J848">
        <v>15</v>
      </c>
      <c r="K848">
        <v>240</v>
      </c>
      <c r="L848">
        <v>1360</v>
      </c>
      <c r="M848">
        <v>132.07</v>
      </c>
      <c r="N848" t="s">
        <v>41</v>
      </c>
      <c r="O848" t="s">
        <v>35</v>
      </c>
      <c r="P848" t="str">
        <f t="shared" si="26"/>
        <v>Low Value</v>
      </c>
      <c r="Q848" t="str">
        <f t="shared" si="27"/>
        <v>Low</v>
      </c>
      <c r="R848" t="str" cm="1">
        <f t="array" ref="R848">_xlfn.IFS(L848&gt;50000,"Premium",L848&gt;20000,"High",L848&gt;5000,"Medium",TRUE,"Low")</f>
        <v>Low</v>
      </c>
    </row>
    <row r="849" spans="1:18" x14ac:dyDescent="0.3">
      <c r="A849" t="s">
        <v>1692</v>
      </c>
      <c r="B849" s="1">
        <v>45126</v>
      </c>
      <c r="C849" t="s">
        <v>1693</v>
      </c>
      <c r="D849" t="s">
        <v>669</v>
      </c>
      <c r="E849" t="s">
        <v>78</v>
      </c>
      <c r="F849" t="s">
        <v>49</v>
      </c>
      <c r="G849" t="s">
        <v>94</v>
      </c>
      <c r="H849">
        <v>2</v>
      </c>
      <c r="I849">
        <v>399</v>
      </c>
      <c r="J849">
        <v>5</v>
      </c>
      <c r="K849">
        <v>39.9</v>
      </c>
      <c r="L849">
        <v>758.1</v>
      </c>
      <c r="M849">
        <v>108.35</v>
      </c>
      <c r="N849" t="s">
        <v>21</v>
      </c>
      <c r="O849" t="s">
        <v>35</v>
      </c>
      <c r="P849" t="str">
        <f t="shared" si="26"/>
        <v>Low Value</v>
      </c>
      <c r="Q849" t="str">
        <f t="shared" si="27"/>
        <v>Low</v>
      </c>
      <c r="R849" t="str" cm="1">
        <f t="array" ref="R849">_xlfn.IFS(L849&gt;50000,"Premium",L849&gt;20000,"High",L849&gt;5000,"Medium",TRUE,"Low")</f>
        <v>Low</v>
      </c>
    </row>
    <row r="850" spans="1:18" x14ac:dyDescent="0.3">
      <c r="A850" t="s">
        <v>1694</v>
      </c>
      <c r="B850" s="1">
        <v>45184</v>
      </c>
      <c r="C850" t="s">
        <v>354</v>
      </c>
      <c r="D850" t="s">
        <v>294</v>
      </c>
      <c r="E850" t="s">
        <v>26</v>
      </c>
      <c r="F850" t="s">
        <v>60</v>
      </c>
      <c r="G850" t="s">
        <v>115</v>
      </c>
      <c r="H850">
        <v>4</v>
      </c>
      <c r="I850">
        <v>1800</v>
      </c>
      <c r="J850">
        <v>10</v>
      </c>
      <c r="K850">
        <v>720</v>
      </c>
      <c r="L850">
        <v>6480</v>
      </c>
      <c r="M850">
        <v>716.11</v>
      </c>
      <c r="N850" t="s">
        <v>21</v>
      </c>
      <c r="O850" t="s">
        <v>35</v>
      </c>
      <c r="P850" t="str">
        <f t="shared" si="26"/>
        <v>Low Value</v>
      </c>
      <c r="Q850" t="str">
        <f t="shared" si="27"/>
        <v>Medium</v>
      </c>
      <c r="R850" t="str" cm="1">
        <f t="array" ref="R850">_xlfn.IFS(L850&gt;50000,"Premium",L850&gt;20000,"High",L850&gt;5000,"Medium",TRUE,"Low")</f>
        <v>Medium</v>
      </c>
    </row>
    <row r="851" spans="1:18" x14ac:dyDescent="0.3">
      <c r="A851" t="s">
        <v>1695</v>
      </c>
      <c r="B851" s="1">
        <v>45196</v>
      </c>
      <c r="C851" t="s">
        <v>1696</v>
      </c>
      <c r="D851" t="s">
        <v>915</v>
      </c>
      <c r="E851" t="s">
        <v>54</v>
      </c>
      <c r="F851" t="s">
        <v>32</v>
      </c>
      <c r="G851" t="s">
        <v>361</v>
      </c>
      <c r="H851">
        <v>4</v>
      </c>
      <c r="I851">
        <v>90</v>
      </c>
      <c r="J851">
        <v>15</v>
      </c>
      <c r="K851">
        <v>54</v>
      </c>
      <c r="L851">
        <v>306</v>
      </c>
      <c r="M851">
        <v>57.78</v>
      </c>
      <c r="N851" t="s">
        <v>34</v>
      </c>
      <c r="O851" t="s">
        <v>35</v>
      </c>
      <c r="P851" t="str">
        <f t="shared" si="26"/>
        <v>Low Value</v>
      </c>
      <c r="Q851" t="str">
        <f t="shared" si="27"/>
        <v>Low</v>
      </c>
      <c r="R851" t="str" cm="1">
        <f t="array" ref="R851">_xlfn.IFS(L851&gt;50000,"Premium",L851&gt;20000,"High",L851&gt;5000,"Medium",TRUE,"Low")</f>
        <v>Low</v>
      </c>
    </row>
    <row r="852" spans="1:18" x14ac:dyDescent="0.3">
      <c r="A852" t="s">
        <v>1697</v>
      </c>
      <c r="B852" s="1">
        <v>45127</v>
      </c>
      <c r="C852" t="s">
        <v>932</v>
      </c>
      <c r="D852" t="s">
        <v>1486</v>
      </c>
      <c r="E852" t="s">
        <v>54</v>
      </c>
      <c r="F852" t="s">
        <v>74</v>
      </c>
      <c r="G852" t="s">
        <v>250</v>
      </c>
      <c r="H852">
        <v>2</v>
      </c>
      <c r="I852">
        <v>3500</v>
      </c>
      <c r="J852">
        <v>15</v>
      </c>
      <c r="K852">
        <v>1050</v>
      </c>
      <c r="L852">
        <v>5950</v>
      </c>
      <c r="M852">
        <v>742.21</v>
      </c>
      <c r="N852" t="s">
        <v>41</v>
      </c>
      <c r="O852" t="s">
        <v>35</v>
      </c>
      <c r="P852" t="str">
        <f t="shared" si="26"/>
        <v>Low Value</v>
      </c>
      <c r="Q852" t="str">
        <f t="shared" si="27"/>
        <v>Medium</v>
      </c>
      <c r="R852" t="str" cm="1">
        <f t="array" ref="R852">_xlfn.IFS(L852&gt;50000,"Premium",L852&gt;20000,"High",L852&gt;5000,"Medium",TRUE,"Low")</f>
        <v>Medium</v>
      </c>
    </row>
    <row r="853" spans="1:18" x14ac:dyDescent="0.3">
      <c r="A853" t="s">
        <v>1698</v>
      </c>
      <c r="B853" s="1">
        <v>45284</v>
      </c>
      <c r="C853" t="s">
        <v>1699</v>
      </c>
      <c r="D853" t="s">
        <v>93</v>
      </c>
      <c r="E853" t="s">
        <v>78</v>
      </c>
      <c r="F853" t="s">
        <v>74</v>
      </c>
      <c r="G853" t="s">
        <v>137</v>
      </c>
      <c r="H853">
        <v>4</v>
      </c>
      <c r="I853">
        <v>2500</v>
      </c>
      <c r="J853">
        <v>25</v>
      </c>
      <c r="K853">
        <v>2500</v>
      </c>
      <c r="L853">
        <v>7500</v>
      </c>
      <c r="M853">
        <v>2502.8000000000002</v>
      </c>
      <c r="N853" t="s">
        <v>99</v>
      </c>
      <c r="O853" t="s">
        <v>35</v>
      </c>
      <c r="P853" t="str">
        <f t="shared" si="26"/>
        <v>Low Value</v>
      </c>
      <c r="Q853" t="str">
        <f t="shared" si="27"/>
        <v>Medium</v>
      </c>
      <c r="R853" t="str" cm="1">
        <f t="array" ref="R853">_xlfn.IFS(L853&gt;50000,"Premium",L853&gt;20000,"High",L853&gt;5000,"Medium",TRUE,"Low")</f>
        <v>Medium</v>
      </c>
    </row>
    <row r="854" spans="1:18" x14ac:dyDescent="0.3">
      <c r="A854" t="s">
        <v>1700</v>
      </c>
      <c r="B854" s="1">
        <v>45179</v>
      </c>
      <c r="C854" t="s">
        <v>1701</v>
      </c>
      <c r="D854" t="s">
        <v>855</v>
      </c>
      <c r="E854" t="s">
        <v>48</v>
      </c>
      <c r="F854" t="s">
        <v>39</v>
      </c>
      <c r="G854" t="s">
        <v>209</v>
      </c>
      <c r="H854">
        <v>5</v>
      </c>
      <c r="I854">
        <v>3200</v>
      </c>
      <c r="J854">
        <v>0</v>
      </c>
      <c r="K854">
        <v>0</v>
      </c>
      <c r="L854">
        <v>16000</v>
      </c>
      <c r="M854">
        <v>5577.52</v>
      </c>
      <c r="N854" t="s">
        <v>41</v>
      </c>
      <c r="O854" t="s">
        <v>22</v>
      </c>
      <c r="P854" t="str">
        <f t="shared" si="26"/>
        <v>Low Value</v>
      </c>
      <c r="Q854" t="str">
        <f t="shared" si="27"/>
        <v>Medium</v>
      </c>
      <c r="R854" t="str" cm="1">
        <f t="array" ref="R854">_xlfn.IFS(L854&gt;50000,"Premium",L854&gt;20000,"High",L854&gt;5000,"Medium",TRUE,"Low")</f>
        <v>Medium</v>
      </c>
    </row>
    <row r="855" spans="1:18" x14ac:dyDescent="0.3">
      <c r="A855" t="s">
        <v>1702</v>
      </c>
      <c r="B855" s="1">
        <v>45011</v>
      </c>
      <c r="C855" t="s">
        <v>197</v>
      </c>
      <c r="D855" t="s">
        <v>512</v>
      </c>
      <c r="E855" t="s">
        <v>48</v>
      </c>
      <c r="F855" t="s">
        <v>32</v>
      </c>
      <c r="G855" t="s">
        <v>148</v>
      </c>
      <c r="H855">
        <v>5</v>
      </c>
      <c r="I855">
        <v>120</v>
      </c>
      <c r="J855">
        <v>0</v>
      </c>
      <c r="K855">
        <v>0</v>
      </c>
      <c r="L855">
        <v>600</v>
      </c>
      <c r="M855">
        <v>113.19</v>
      </c>
      <c r="N855" t="s">
        <v>41</v>
      </c>
      <c r="O855" t="s">
        <v>35</v>
      </c>
      <c r="P855" t="str">
        <f t="shared" si="26"/>
        <v>Low Value</v>
      </c>
      <c r="Q855" t="str">
        <f t="shared" si="27"/>
        <v>Low</v>
      </c>
      <c r="R855" t="str" cm="1">
        <f t="array" ref="R855">_xlfn.IFS(L855&gt;50000,"Premium",L855&gt;20000,"High",L855&gt;5000,"Medium",TRUE,"Low")</f>
        <v>Low</v>
      </c>
    </row>
    <row r="856" spans="1:18" x14ac:dyDescent="0.3">
      <c r="A856" t="s">
        <v>1703</v>
      </c>
      <c r="B856" s="1">
        <v>45130</v>
      </c>
      <c r="C856" t="s">
        <v>766</v>
      </c>
      <c r="D856" t="s">
        <v>710</v>
      </c>
      <c r="E856" t="s">
        <v>54</v>
      </c>
      <c r="F856" t="s">
        <v>19</v>
      </c>
      <c r="G856" t="s">
        <v>20</v>
      </c>
      <c r="H856">
        <v>3</v>
      </c>
      <c r="I856">
        <v>18000</v>
      </c>
      <c r="J856">
        <v>0</v>
      </c>
      <c r="K856">
        <v>0</v>
      </c>
      <c r="L856">
        <v>54000</v>
      </c>
      <c r="M856">
        <v>14187.41</v>
      </c>
      <c r="N856" t="s">
        <v>41</v>
      </c>
      <c r="O856" t="s">
        <v>35</v>
      </c>
      <c r="P856" t="str">
        <f t="shared" si="26"/>
        <v>High Value</v>
      </c>
      <c r="Q856" t="str">
        <f t="shared" si="27"/>
        <v>Premium</v>
      </c>
      <c r="R856" t="str" cm="1">
        <f t="array" ref="R856">_xlfn.IFS(L856&gt;50000,"Premium",L856&gt;20000,"High",L856&gt;5000,"Medium",TRUE,"Low")</f>
        <v>Premium</v>
      </c>
    </row>
    <row r="857" spans="1:18" x14ac:dyDescent="0.3">
      <c r="A857" t="s">
        <v>1704</v>
      </c>
      <c r="B857" s="1">
        <v>44969</v>
      </c>
      <c r="C857" t="s">
        <v>1062</v>
      </c>
      <c r="D857" t="s">
        <v>1705</v>
      </c>
      <c r="E857" t="s">
        <v>83</v>
      </c>
      <c r="F857" t="s">
        <v>74</v>
      </c>
      <c r="G857" t="s">
        <v>192</v>
      </c>
      <c r="H857">
        <v>2</v>
      </c>
      <c r="I857">
        <v>12000</v>
      </c>
      <c r="J857">
        <v>25</v>
      </c>
      <c r="K857">
        <v>6000</v>
      </c>
      <c r="L857">
        <v>18000</v>
      </c>
      <c r="M857">
        <v>6030.1</v>
      </c>
      <c r="N857" t="s">
        <v>27</v>
      </c>
      <c r="O857" t="s">
        <v>35</v>
      </c>
      <c r="P857" t="str">
        <f t="shared" si="26"/>
        <v>Low Value</v>
      </c>
      <c r="Q857" t="str">
        <f t="shared" si="27"/>
        <v>Medium</v>
      </c>
      <c r="R857" t="str" cm="1">
        <f t="array" ref="R857">_xlfn.IFS(L857&gt;50000,"Premium",L857&gt;20000,"High",L857&gt;5000,"Medium",TRUE,"Low")</f>
        <v>Medium</v>
      </c>
    </row>
    <row r="858" spans="1:18" x14ac:dyDescent="0.3">
      <c r="A858" t="s">
        <v>1706</v>
      </c>
      <c r="B858" s="1">
        <v>45237</v>
      </c>
      <c r="C858" t="s">
        <v>1554</v>
      </c>
      <c r="D858" t="s">
        <v>682</v>
      </c>
      <c r="E858" t="s">
        <v>59</v>
      </c>
      <c r="F858" t="s">
        <v>19</v>
      </c>
      <c r="G858" t="s">
        <v>65</v>
      </c>
      <c r="H858">
        <v>3</v>
      </c>
      <c r="I858">
        <v>55000</v>
      </c>
      <c r="J858">
        <v>0</v>
      </c>
      <c r="K858">
        <v>0</v>
      </c>
      <c r="L858">
        <v>165000</v>
      </c>
      <c r="M858">
        <v>34715.360000000001</v>
      </c>
      <c r="N858" t="s">
        <v>34</v>
      </c>
      <c r="O858" t="s">
        <v>35</v>
      </c>
      <c r="P858" t="str">
        <f t="shared" si="26"/>
        <v>High Value</v>
      </c>
      <c r="Q858" t="str">
        <f t="shared" si="27"/>
        <v>Premium</v>
      </c>
      <c r="R858" t="str" cm="1">
        <f t="array" ref="R858">_xlfn.IFS(L858&gt;50000,"Premium",L858&gt;20000,"High",L858&gt;5000,"Medium",TRUE,"Low")</f>
        <v>Premium</v>
      </c>
    </row>
    <row r="859" spans="1:18" x14ac:dyDescent="0.3">
      <c r="A859" t="s">
        <v>1707</v>
      </c>
      <c r="B859" s="1">
        <v>45152</v>
      </c>
      <c r="C859" t="s">
        <v>190</v>
      </c>
      <c r="D859" t="s">
        <v>25</v>
      </c>
      <c r="E859" t="s">
        <v>54</v>
      </c>
      <c r="F859" t="s">
        <v>32</v>
      </c>
      <c r="G859" t="s">
        <v>148</v>
      </c>
      <c r="H859">
        <v>2</v>
      </c>
      <c r="I859">
        <v>120</v>
      </c>
      <c r="J859">
        <v>25</v>
      </c>
      <c r="K859">
        <v>60</v>
      </c>
      <c r="L859">
        <v>180</v>
      </c>
      <c r="M859">
        <v>10.86</v>
      </c>
      <c r="N859" t="s">
        <v>99</v>
      </c>
      <c r="O859" t="s">
        <v>95</v>
      </c>
      <c r="P859" t="str">
        <f t="shared" si="26"/>
        <v>Low Value</v>
      </c>
      <c r="Q859" t="str">
        <f t="shared" si="27"/>
        <v>Low</v>
      </c>
      <c r="R859" t="str" cm="1">
        <f t="array" ref="R859">_xlfn.IFS(L859&gt;50000,"Premium",L859&gt;20000,"High",L859&gt;5000,"Medium",TRUE,"Low")</f>
        <v>Low</v>
      </c>
    </row>
    <row r="860" spans="1:18" x14ac:dyDescent="0.3">
      <c r="A860" t="s">
        <v>1708</v>
      </c>
      <c r="B860" s="1">
        <v>45255</v>
      </c>
      <c r="C860" t="s">
        <v>531</v>
      </c>
      <c r="D860" t="s">
        <v>287</v>
      </c>
      <c r="E860" t="s">
        <v>59</v>
      </c>
      <c r="F860" t="s">
        <v>60</v>
      </c>
      <c r="G860" t="s">
        <v>115</v>
      </c>
      <c r="H860">
        <v>1</v>
      </c>
      <c r="I860">
        <v>1800</v>
      </c>
      <c r="J860">
        <v>15</v>
      </c>
      <c r="K860">
        <v>270</v>
      </c>
      <c r="L860">
        <v>1530</v>
      </c>
      <c r="M860">
        <v>393.37</v>
      </c>
      <c r="N860" t="s">
        <v>99</v>
      </c>
      <c r="O860" t="s">
        <v>22</v>
      </c>
      <c r="P860" t="str">
        <f t="shared" si="26"/>
        <v>Low Value</v>
      </c>
      <c r="Q860" t="str">
        <f t="shared" si="27"/>
        <v>Low</v>
      </c>
      <c r="R860" t="str" cm="1">
        <f t="array" ref="R860">_xlfn.IFS(L860&gt;50000,"Premium",L860&gt;20000,"High",L860&gt;5000,"Medium",TRUE,"Low")</f>
        <v>Low</v>
      </c>
    </row>
    <row r="861" spans="1:18" x14ac:dyDescent="0.3">
      <c r="A861" t="s">
        <v>1709</v>
      </c>
      <c r="B861" s="1">
        <v>45030</v>
      </c>
      <c r="C861" t="s">
        <v>395</v>
      </c>
      <c r="D861" t="s">
        <v>1583</v>
      </c>
      <c r="E861" t="s">
        <v>48</v>
      </c>
      <c r="F861" t="s">
        <v>69</v>
      </c>
      <c r="G861" t="s">
        <v>275</v>
      </c>
      <c r="H861">
        <v>2</v>
      </c>
      <c r="I861">
        <v>799</v>
      </c>
      <c r="J861">
        <v>5</v>
      </c>
      <c r="K861">
        <v>79.900000000000006</v>
      </c>
      <c r="L861">
        <v>1518.1</v>
      </c>
      <c r="M861">
        <v>117.53</v>
      </c>
      <c r="N861" t="s">
        <v>27</v>
      </c>
      <c r="O861" t="s">
        <v>35</v>
      </c>
      <c r="P861" t="str">
        <f t="shared" si="26"/>
        <v>Low Value</v>
      </c>
      <c r="Q861" t="str">
        <f t="shared" si="27"/>
        <v>Low</v>
      </c>
      <c r="R861" t="str" cm="1">
        <f t="array" ref="R861">_xlfn.IFS(L861&gt;50000,"Premium",L861&gt;20000,"High",L861&gt;5000,"Medium",TRUE,"Low")</f>
        <v>Low</v>
      </c>
    </row>
    <row r="862" spans="1:18" x14ac:dyDescent="0.3">
      <c r="A862" t="s">
        <v>1710</v>
      </c>
      <c r="B862" s="1">
        <v>45039</v>
      </c>
      <c r="C862" t="s">
        <v>749</v>
      </c>
      <c r="D862" t="s">
        <v>396</v>
      </c>
      <c r="E862" t="s">
        <v>48</v>
      </c>
      <c r="F862" t="s">
        <v>19</v>
      </c>
      <c r="G862" t="s">
        <v>107</v>
      </c>
      <c r="H862">
        <v>2</v>
      </c>
      <c r="I862">
        <v>4500</v>
      </c>
      <c r="J862">
        <v>25</v>
      </c>
      <c r="K862">
        <v>2250</v>
      </c>
      <c r="L862">
        <v>6750</v>
      </c>
      <c r="M862">
        <v>675.77</v>
      </c>
      <c r="N862" t="s">
        <v>34</v>
      </c>
      <c r="O862" t="s">
        <v>95</v>
      </c>
      <c r="P862" t="str">
        <f t="shared" si="26"/>
        <v>Low Value</v>
      </c>
      <c r="Q862" t="str">
        <f t="shared" si="27"/>
        <v>Medium</v>
      </c>
      <c r="R862" t="str" cm="1">
        <f t="array" ref="R862">_xlfn.IFS(L862&gt;50000,"Premium",L862&gt;20000,"High",L862&gt;5000,"Medium",TRUE,"Low")</f>
        <v>Medium</v>
      </c>
    </row>
    <row r="863" spans="1:18" x14ac:dyDescent="0.3">
      <c r="A863" t="s">
        <v>1711</v>
      </c>
      <c r="B863" s="1">
        <v>45247</v>
      </c>
      <c r="C863" t="s">
        <v>416</v>
      </c>
      <c r="D863" t="s">
        <v>114</v>
      </c>
      <c r="E863" t="s">
        <v>31</v>
      </c>
      <c r="F863" t="s">
        <v>69</v>
      </c>
      <c r="G863" t="s">
        <v>243</v>
      </c>
      <c r="H863">
        <v>2</v>
      </c>
      <c r="I863">
        <v>1999</v>
      </c>
      <c r="J863">
        <v>20</v>
      </c>
      <c r="K863">
        <v>799.6</v>
      </c>
      <c r="L863">
        <v>3198.4</v>
      </c>
      <c r="M863">
        <v>538.99</v>
      </c>
      <c r="N863" t="s">
        <v>99</v>
      </c>
      <c r="O863" t="s">
        <v>35</v>
      </c>
      <c r="P863" t="str">
        <f t="shared" si="26"/>
        <v>Low Value</v>
      </c>
      <c r="Q863" t="str">
        <f t="shared" si="27"/>
        <v>Low</v>
      </c>
      <c r="R863" t="str" cm="1">
        <f t="array" ref="R863">_xlfn.IFS(L863&gt;50000,"Premium",L863&gt;20000,"High",L863&gt;5000,"Medium",TRUE,"Low")</f>
        <v>Low</v>
      </c>
    </row>
    <row r="864" spans="1:18" x14ac:dyDescent="0.3">
      <c r="A864" t="s">
        <v>1712</v>
      </c>
      <c r="B864" s="1">
        <v>45092</v>
      </c>
      <c r="C864" t="s">
        <v>217</v>
      </c>
      <c r="D864" t="s">
        <v>718</v>
      </c>
      <c r="E864" t="s">
        <v>31</v>
      </c>
      <c r="F864" t="s">
        <v>69</v>
      </c>
      <c r="G864" t="s">
        <v>505</v>
      </c>
      <c r="H864">
        <v>4</v>
      </c>
      <c r="I864">
        <v>499</v>
      </c>
      <c r="J864">
        <v>25</v>
      </c>
      <c r="K864">
        <v>499</v>
      </c>
      <c r="L864">
        <v>1497</v>
      </c>
      <c r="M864">
        <v>216.87</v>
      </c>
      <c r="N864" t="s">
        <v>99</v>
      </c>
      <c r="O864" t="s">
        <v>35</v>
      </c>
      <c r="P864" t="str">
        <f t="shared" si="26"/>
        <v>Low Value</v>
      </c>
      <c r="Q864" t="str">
        <f t="shared" si="27"/>
        <v>Low</v>
      </c>
      <c r="R864" t="str" cm="1">
        <f t="array" ref="R864">_xlfn.IFS(L864&gt;50000,"Premium",L864&gt;20000,"High",L864&gt;5000,"Medium",TRUE,"Low")</f>
        <v>Low</v>
      </c>
    </row>
    <row r="865" spans="1:18" x14ac:dyDescent="0.3">
      <c r="A865" t="s">
        <v>1713</v>
      </c>
      <c r="B865" s="1">
        <v>45259</v>
      </c>
      <c r="C865" t="s">
        <v>410</v>
      </c>
      <c r="D865" t="s">
        <v>741</v>
      </c>
      <c r="E865" t="s">
        <v>54</v>
      </c>
      <c r="F865" t="s">
        <v>74</v>
      </c>
      <c r="G865" t="s">
        <v>341</v>
      </c>
      <c r="H865">
        <v>1</v>
      </c>
      <c r="I865">
        <v>700</v>
      </c>
      <c r="J865">
        <v>0</v>
      </c>
      <c r="K865">
        <v>0</v>
      </c>
      <c r="L865">
        <v>700</v>
      </c>
      <c r="M865">
        <v>220.95</v>
      </c>
      <c r="N865" t="s">
        <v>99</v>
      </c>
      <c r="O865" t="s">
        <v>95</v>
      </c>
      <c r="P865" t="str">
        <f t="shared" si="26"/>
        <v>Low Value</v>
      </c>
      <c r="Q865" t="str">
        <f t="shared" si="27"/>
        <v>Low</v>
      </c>
      <c r="R865" t="str" cm="1">
        <f t="array" ref="R865">_xlfn.IFS(L865&gt;50000,"Premium",L865&gt;20000,"High",L865&gt;5000,"Medium",TRUE,"Low")</f>
        <v>Low</v>
      </c>
    </row>
    <row r="866" spans="1:18" x14ac:dyDescent="0.3">
      <c r="A866" t="s">
        <v>1714</v>
      </c>
      <c r="B866" s="1">
        <v>45218</v>
      </c>
      <c r="C866" t="s">
        <v>1196</v>
      </c>
      <c r="D866" t="s">
        <v>337</v>
      </c>
      <c r="E866" t="s">
        <v>48</v>
      </c>
      <c r="F866" t="s">
        <v>69</v>
      </c>
      <c r="G866" t="s">
        <v>275</v>
      </c>
      <c r="H866">
        <v>1</v>
      </c>
      <c r="I866">
        <v>799</v>
      </c>
      <c r="J866">
        <v>20</v>
      </c>
      <c r="K866">
        <v>159.80000000000001</v>
      </c>
      <c r="L866">
        <v>639.20000000000005</v>
      </c>
      <c r="M866">
        <v>94.16</v>
      </c>
      <c r="N866" t="s">
        <v>27</v>
      </c>
      <c r="O866" t="s">
        <v>35</v>
      </c>
      <c r="P866" t="str">
        <f t="shared" si="26"/>
        <v>Low Value</v>
      </c>
      <c r="Q866" t="str">
        <f t="shared" si="27"/>
        <v>Low</v>
      </c>
      <c r="R866" t="str" cm="1">
        <f t="array" ref="R866">_xlfn.IFS(L866&gt;50000,"Premium",L866&gt;20000,"High",L866&gt;5000,"Medium",TRUE,"Low")</f>
        <v>Low</v>
      </c>
    </row>
    <row r="867" spans="1:18" x14ac:dyDescent="0.3">
      <c r="A867" t="s">
        <v>1715</v>
      </c>
      <c r="B867" s="1">
        <v>45268</v>
      </c>
      <c r="C867" t="s">
        <v>67</v>
      </c>
      <c r="D867" t="s">
        <v>512</v>
      </c>
      <c r="E867" t="s">
        <v>31</v>
      </c>
      <c r="F867" t="s">
        <v>39</v>
      </c>
      <c r="G867" t="s">
        <v>40</v>
      </c>
      <c r="H867">
        <v>3</v>
      </c>
      <c r="I867">
        <v>8500</v>
      </c>
      <c r="J867">
        <v>0</v>
      </c>
      <c r="K867">
        <v>0</v>
      </c>
      <c r="L867">
        <v>25500</v>
      </c>
      <c r="M867">
        <v>5930.28</v>
      </c>
      <c r="N867" t="s">
        <v>21</v>
      </c>
      <c r="O867" t="s">
        <v>95</v>
      </c>
      <c r="P867" t="str">
        <f t="shared" si="26"/>
        <v>High Value</v>
      </c>
      <c r="Q867" t="str">
        <f t="shared" si="27"/>
        <v>High</v>
      </c>
      <c r="R867" t="str" cm="1">
        <f t="array" ref="R867">_xlfn.IFS(L867&gt;50000,"Premium",L867&gt;20000,"High",L867&gt;5000,"Medium",TRUE,"Low")</f>
        <v>High</v>
      </c>
    </row>
    <row r="868" spans="1:18" x14ac:dyDescent="0.3">
      <c r="A868" t="s">
        <v>1716</v>
      </c>
      <c r="B868" s="1">
        <v>45287</v>
      </c>
      <c r="C868" t="s">
        <v>1717</v>
      </c>
      <c r="D868" t="s">
        <v>212</v>
      </c>
      <c r="E868" t="s">
        <v>26</v>
      </c>
      <c r="F868" t="s">
        <v>19</v>
      </c>
      <c r="G868" t="s">
        <v>65</v>
      </c>
      <c r="H868">
        <v>1</v>
      </c>
      <c r="I868">
        <v>55000</v>
      </c>
      <c r="J868">
        <v>20</v>
      </c>
      <c r="K868">
        <v>11000</v>
      </c>
      <c r="L868">
        <v>44000</v>
      </c>
      <c r="M868">
        <v>12218.02</v>
      </c>
      <c r="N868" t="s">
        <v>27</v>
      </c>
      <c r="O868" t="s">
        <v>95</v>
      </c>
      <c r="P868" t="str">
        <f t="shared" si="26"/>
        <v>High Value</v>
      </c>
      <c r="Q868" t="str">
        <f t="shared" si="27"/>
        <v>High</v>
      </c>
      <c r="R868" t="str" cm="1">
        <f t="array" ref="R868">_xlfn.IFS(L868&gt;50000,"Premium",L868&gt;20000,"High",L868&gt;5000,"Medium",TRUE,"Low")</f>
        <v>High</v>
      </c>
    </row>
    <row r="869" spans="1:18" x14ac:dyDescent="0.3">
      <c r="A869" t="s">
        <v>1718</v>
      </c>
      <c r="B869" s="1">
        <v>44967</v>
      </c>
      <c r="C869" t="s">
        <v>1568</v>
      </c>
      <c r="D869" t="s">
        <v>1719</v>
      </c>
      <c r="E869" t="s">
        <v>59</v>
      </c>
      <c r="F869" t="s">
        <v>19</v>
      </c>
      <c r="G869" t="s">
        <v>65</v>
      </c>
      <c r="H869">
        <v>3</v>
      </c>
      <c r="I869">
        <v>55000</v>
      </c>
      <c r="J869">
        <v>15</v>
      </c>
      <c r="K869">
        <v>24750</v>
      </c>
      <c r="L869">
        <v>140250</v>
      </c>
      <c r="M869">
        <v>19492.560000000001</v>
      </c>
      <c r="N869" t="s">
        <v>27</v>
      </c>
      <c r="O869" t="s">
        <v>95</v>
      </c>
      <c r="P869" t="str">
        <f t="shared" si="26"/>
        <v>High Value</v>
      </c>
      <c r="Q869" t="str">
        <f t="shared" si="27"/>
        <v>Premium</v>
      </c>
      <c r="R869" t="str" cm="1">
        <f t="array" ref="R869">_xlfn.IFS(L869&gt;50000,"Premium",L869&gt;20000,"High",L869&gt;5000,"Medium",TRUE,"Low")</f>
        <v>Premium</v>
      </c>
    </row>
    <row r="870" spans="1:18" x14ac:dyDescent="0.3">
      <c r="A870" t="s">
        <v>1720</v>
      </c>
      <c r="B870" s="1">
        <v>45154</v>
      </c>
      <c r="C870" t="s">
        <v>387</v>
      </c>
      <c r="D870" t="s">
        <v>1721</v>
      </c>
      <c r="E870" t="s">
        <v>26</v>
      </c>
      <c r="F870" t="s">
        <v>60</v>
      </c>
      <c r="G870" t="s">
        <v>141</v>
      </c>
      <c r="H870">
        <v>2</v>
      </c>
      <c r="I870">
        <v>350</v>
      </c>
      <c r="J870">
        <v>10</v>
      </c>
      <c r="K870">
        <v>70</v>
      </c>
      <c r="L870">
        <v>630</v>
      </c>
      <c r="M870">
        <v>91.51</v>
      </c>
      <c r="N870" t="s">
        <v>34</v>
      </c>
      <c r="O870" t="s">
        <v>35</v>
      </c>
      <c r="P870" t="str">
        <f t="shared" si="26"/>
        <v>Low Value</v>
      </c>
      <c r="Q870" t="str">
        <f t="shared" si="27"/>
        <v>Low</v>
      </c>
      <c r="R870" t="str" cm="1">
        <f t="array" ref="R870">_xlfn.IFS(L870&gt;50000,"Premium",L870&gt;20000,"High",L870&gt;5000,"Medium",TRUE,"Low")</f>
        <v>Low</v>
      </c>
    </row>
    <row r="871" spans="1:18" x14ac:dyDescent="0.3">
      <c r="A871" t="s">
        <v>1722</v>
      </c>
      <c r="B871" s="1">
        <v>45044</v>
      </c>
      <c r="C871" t="s">
        <v>1723</v>
      </c>
      <c r="D871" t="s">
        <v>58</v>
      </c>
      <c r="E871" t="s">
        <v>31</v>
      </c>
      <c r="F871" t="s">
        <v>49</v>
      </c>
      <c r="G871" t="s">
        <v>458</v>
      </c>
      <c r="H871">
        <v>3</v>
      </c>
      <c r="I871">
        <v>549</v>
      </c>
      <c r="J871">
        <v>10</v>
      </c>
      <c r="K871">
        <v>164.7</v>
      </c>
      <c r="L871">
        <v>1482.3</v>
      </c>
      <c r="M871">
        <v>181.84</v>
      </c>
      <c r="N871" t="s">
        <v>21</v>
      </c>
      <c r="O871" t="s">
        <v>22</v>
      </c>
      <c r="P871" t="str">
        <f t="shared" si="26"/>
        <v>Low Value</v>
      </c>
      <c r="Q871" t="str">
        <f t="shared" si="27"/>
        <v>Low</v>
      </c>
      <c r="R871" t="str" cm="1">
        <f t="array" ref="R871">_xlfn.IFS(L871&gt;50000,"Premium",L871&gt;20000,"High",L871&gt;5000,"Medium",TRUE,"Low")</f>
        <v>Low</v>
      </c>
    </row>
    <row r="872" spans="1:18" x14ac:dyDescent="0.3">
      <c r="A872" t="s">
        <v>1724</v>
      </c>
      <c r="B872" s="1">
        <v>45193</v>
      </c>
      <c r="C872" t="s">
        <v>333</v>
      </c>
      <c r="D872" t="s">
        <v>281</v>
      </c>
      <c r="E872" t="s">
        <v>31</v>
      </c>
      <c r="F872" t="s">
        <v>32</v>
      </c>
      <c r="G872" t="s">
        <v>148</v>
      </c>
      <c r="H872">
        <v>4</v>
      </c>
      <c r="I872">
        <v>120</v>
      </c>
      <c r="J872">
        <v>25</v>
      </c>
      <c r="K872">
        <v>120</v>
      </c>
      <c r="L872">
        <v>360</v>
      </c>
      <c r="M872">
        <v>18.649999999999999</v>
      </c>
      <c r="N872" t="s">
        <v>99</v>
      </c>
      <c r="O872" t="s">
        <v>35</v>
      </c>
      <c r="P872" t="str">
        <f t="shared" si="26"/>
        <v>Low Value</v>
      </c>
      <c r="Q872" t="str">
        <f t="shared" si="27"/>
        <v>Low</v>
      </c>
      <c r="R872" t="str" cm="1">
        <f t="array" ref="R872">_xlfn.IFS(L872&gt;50000,"Premium",L872&gt;20000,"High",L872&gt;5000,"Medium",TRUE,"Low")</f>
        <v>Low</v>
      </c>
    </row>
    <row r="873" spans="1:18" x14ac:dyDescent="0.3">
      <c r="A873" t="s">
        <v>1725</v>
      </c>
      <c r="B873" s="1">
        <v>45031</v>
      </c>
      <c r="C873" t="s">
        <v>1437</v>
      </c>
      <c r="D873" t="s">
        <v>334</v>
      </c>
      <c r="E873" t="s">
        <v>18</v>
      </c>
      <c r="F873" t="s">
        <v>69</v>
      </c>
      <c r="G873" t="s">
        <v>505</v>
      </c>
      <c r="H873">
        <v>2</v>
      </c>
      <c r="I873">
        <v>499</v>
      </c>
      <c r="J873">
        <v>20</v>
      </c>
      <c r="K873">
        <v>199.6</v>
      </c>
      <c r="L873">
        <v>798.4</v>
      </c>
      <c r="M873">
        <v>171.38</v>
      </c>
      <c r="N873" t="s">
        <v>41</v>
      </c>
      <c r="O873" t="s">
        <v>22</v>
      </c>
      <c r="P873" t="str">
        <f t="shared" si="26"/>
        <v>Low Value</v>
      </c>
      <c r="Q873" t="str">
        <f t="shared" si="27"/>
        <v>Low</v>
      </c>
      <c r="R873" t="str" cm="1">
        <f t="array" ref="R873">_xlfn.IFS(L873&gt;50000,"Premium",L873&gt;20000,"High",L873&gt;5000,"Medium",TRUE,"Low")</f>
        <v>Low</v>
      </c>
    </row>
    <row r="874" spans="1:18" x14ac:dyDescent="0.3">
      <c r="A874" t="s">
        <v>1726</v>
      </c>
      <c r="B874" s="1">
        <v>45086</v>
      </c>
      <c r="C874" t="s">
        <v>552</v>
      </c>
      <c r="D874" t="s">
        <v>195</v>
      </c>
      <c r="E874" t="s">
        <v>78</v>
      </c>
      <c r="F874" t="s">
        <v>69</v>
      </c>
      <c r="G874" t="s">
        <v>70</v>
      </c>
      <c r="H874">
        <v>2</v>
      </c>
      <c r="I874">
        <v>2499</v>
      </c>
      <c r="J874">
        <v>5</v>
      </c>
      <c r="K874">
        <v>249.9</v>
      </c>
      <c r="L874">
        <v>4748.1000000000004</v>
      </c>
      <c r="M874">
        <v>841.39</v>
      </c>
      <c r="N874" t="s">
        <v>21</v>
      </c>
      <c r="O874" t="s">
        <v>22</v>
      </c>
      <c r="P874" t="str">
        <f t="shared" si="26"/>
        <v>Low Value</v>
      </c>
      <c r="Q874" t="str">
        <f t="shared" si="27"/>
        <v>Low</v>
      </c>
      <c r="R874" t="str" cm="1">
        <f t="array" ref="R874">_xlfn.IFS(L874&gt;50000,"Premium",L874&gt;20000,"High",L874&gt;5000,"Medium",TRUE,"Low")</f>
        <v>Low</v>
      </c>
    </row>
    <row r="875" spans="1:18" x14ac:dyDescent="0.3">
      <c r="A875" t="s">
        <v>1727</v>
      </c>
      <c r="B875" s="1">
        <v>45252</v>
      </c>
      <c r="C875" t="s">
        <v>1728</v>
      </c>
      <c r="D875" t="s">
        <v>981</v>
      </c>
      <c r="E875" t="s">
        <v>83</v>
      </c>
      <c r="F875" t="s">
        <v>69</v>
      </c>
      <c r="G875" t="s">
        <v>275</v>
      </c>
      <c r="H875">
        <v>4</v>
      </c>
      <c r="I875">
        <v>799</v>
      </c>
      <c r="J875">
        <v>0</v>
      </c>
      <c r="K875">
        <v>0</v>
      </c>
      <c r="L875">
        <v>3196</v>
      </c>
      <c r="M875">
        <v>1071.6300000000001</v>
      </c>
      <c r="N875" t="s">
        <v>41</v>
      </c>
      <c r="O875" t="s">
        <v>22</v>
      </c>
      <c r="P875" t="str">
        <f t="shared" si="26"/>
        <v>Low Value</v>
      </c>
      <c r="Q875" t="str">
        <f t="shared" si="27"/>
        <v>Low</v>
      </c>
      <c r="R875" t="str" cm="1">
        <f t="array" ref="R875">_xlfn.IFS(L875&gt;50000,"Premium",L875&gt;20000,"High",L875&gt;5000,"Medium",TRUE,"Low")</f>
        <v>Low</v>
      </c>
    </row>
    <row r="876" spans="1:18" x14ac:dyDescent="0.3">
      <c r="A876" t="s">
        <v>1729</v>
      </c>
      <c r="B876" s="1">
        <v>45143</v>
      </c>
      <c r="C876" t="s">
        <v>493</v>
      </c>
      <c r="D876" t="s">
        <v>1689</v>
      </c>
      <c r="E876" t="s">
        <v>26</v>
      </c>
      <c r="F876" t="s">
        <v>74</v>
      </c>
      <c r="G876" t="s">
        <v>144</v>
      </c>
      <c r="H876">
        <v>4</v>
      </c>
      <c r="I876">
        <v>1500</v>
      </c>
      <c r="J876">
        <v>5</v>
      </c>
      <c r="K876">
        <v>300</v>
      </c>
      <c r="L876">
        <v>5700</v>
      </c>
      <c r="M876">
        <v>1686.52</v>
      </c>
      <c r="N876" t="s">
        <v>41</v>
      </c>
      <c r="O876" t="s">
        <v>35</v>
      </c>
      <c r="P876" t="str">
        <f t="shared" si="26"/>
        <v>Low Value</v>
      </c>
      <c r="Q876" t="str">
        <f t="shared" si="27"/>
        <v>Medium</v>
      </c>
      <c r="R876" t="str" cm="1">
        <f t="array" ref="R876">_xlfn.IFS(L876&gt;50000,"Premium",L876&gt;20000,"High",L876&gt;5000,"Medium",TRUE,"Low")</f>
        <v>Medium</v>
      </c>
    </row>
    <row r="877" spans="1:18" x14ac:dyDescent="0.3">
      <c r="A877" t="s">
        <v>1730</v>
      </c>
      <c r="B877" s="1">
        <v>45080</v>
      </c>
      <c r="C877" t="s">
        <v>1129</v>
      </c>
      <c r="D877" t="s">
        <v>971</v>
      </c>
      <c r="E877" t="s">
        <v>78</v>
      </c>
      <c r="F877" t="s">
        <v>74</v>
      </c>
      <c r="G877" t="s">
        <v>144</v>
      </c>
      <c r="H877">
        <v>2</v>
      </c>
      <c r="I877">
        <v>1500</v>
      </c>
      <c r="J877">
        <v>20</v>
      </c>
      <c r="K877">
        <v>600</v>
      </c>
      <c r="L877">
        <v>2400</v>
      </c>
      <c r="M877">
        <v>643.19000000000005</v>
      </c>
      <c r="N877" t="s">
        <v>41</v>
      </c>
      <c r="O877" t="s">
        <v>35</v>
      </c>
      <c r="P877" t="str">
        <f t="shared" si="26"/>
        <v>Low Value</v>
      </c>
      <c r="Q877" t="str">
        <f t="shared" si="27"/>
        <v>Low</v>
      </c>
      <c r="R877" t="str" cm="1">
        <f t="array" ref="R877">_xlfn.IFS(L877&gt;50000,"Premium",L877&gt;20000,"High",L877&gt;5000,"Medium",TRUE,"Low")</f>
        <v>Low</v>
      </c>
    </row>
    <row r="878" spans="1:18" x14ac:dyDescent="0.3">
      <c r="A878" t="s">
        <v>1731</v>
      </c>
      <c r="B878" s="1">
        <v>45119</v>
      </c>
      <c r="C878" t="s">
        <v>1447</v>
      </c>
      <c r="D878" t="s">
        <v>106</v>
      </c>
      <c r="E878" t="s">
        <v>83</v>
      </c>
      <c r="F878" t="s">
        <v>74</v>
      </c>
      <c r="G878" t="s">
        <v>144</v>
      </c>
      <c r="H878">
        <v>4</v>
      </c>
      <c r="I878">
        <v>1500</v>
      </c>
      <c r="J878">
        <v>0</v>
      </c>
      <c r="K878">
        <v>0</v>
      </c>
      <c r="L878">
        <v>6000</v>
      </c>
      <c r="M878">
        <v>899.82</v>
      </c>
      <c r="N878" t="s">
        <v>27</v>
      </c>
      <c r="O878" t="s">
        <v>35</v>
      </c>
      <c r="P878" t="str">
        <f t="shared" si="26"/>
        <v>Low Value</v>
      </c>
      <c r="Q878" t="str">
        <f t="shared" si="27"/>
        <v>Medium</v>
      </c>
      <c r="R878" t="str" cm="1">
        <f t="array" ref="R878">_xlfn.IFS(L878&gt;50000,"Premium",L878&gt;20000,"High",L878&gt;5000,"Medium",TRUE,"Low")</f>
        <v>Medium</v>
      </c>
    </row>
    <row r="879" spans="1:18" x14ac:dyDescent="0.3">
      <c r="A879" t="s">
        <v>1732</v>
      </c>
      <c r="B879" s="1">
        <v>44933</v>
      </c>
      <c r="C879" t="s">
        <v>749</v>
      </c>
      <c r="D879" t="s">
        <v>715</v>
      </c>
      <c r="E879" t="s">
        <v>26</v>
      </c>
      <c r="F879" t="s">
        <v>49</v>
      </c>
      <c r="G879" t="s">
        <v>331</v>
      </c>
      <c r="H879">
        <v>3</v>
      </c>
      <c r="I879">
        <v>699</v>
      </c>
      <c r="J879">
        <v>15</v>
      </c>
      <c r="K879">
        <v>314.55</v>
      </c>
      <c r="L879">
        <v>1782.45</v>
      </c>
      <c r="M879">
        <v>305.45</v>
      </c>
      <c r="N879" t="s">
        <v>41</v>
      </c>
      <c r="O879" t="s">
        <v>35</v>
      </c>
      <c r="P879" t="str">
        <f t="shared" si="26"/>
        <v>Low Value</v>
      </c>
      <c r="Q879" t="str">
        <f t="shared" si="27"/>
        <v>Low</v>
      </c>
      <c r="R879" t="str" cm="1">
        <f t="array" ref="R879">_xlfn.IFS(L879&gt;50000,"Premium",L879&gt;20000,"High",L879&gt;5000,"Medium",TRUE,"Low")</f>
        <v>Low</v>
      </c>
    </row>
    <row r="880" spans="1:18" x14ac:dyDescent="0.3">
      <c r="A880" t="s">
        <v>1733</v>
      </c>
      <c r="B880" s="1">
        <v>45255</v>
      </c>
      <c r="C880" t="s">
        <v>1717</v>
      </c>
      <c r="D880" t="s">
        <v>1268</v>
      </c>
      <c r="E880" t="s">
        <v>83</v>
      </c>
      <c r="F880" t="s">
        <v>74</v>
      </c>
      <c r="G880" t="s">
        <v>137</v>
      </c>
      <c r="H880">
        <v>4</v>
      </c>
      <c r="I880">
        <v>2500</v>
      </c>
      <c r="J880">
        <v>0</v>
      </c>
      <c r="K880">
        <v>0</v>
      </c>
      <c r="L880">
        <v>10000</v>
      </c>
      <c r="M880">
        <v>3477.42</v>
      </c>
      <c r="N880" t="s">
        <v>27</v>
      </c>
      <c r="O880" t="s">
        <v>22</v>
      </c>
      <c r="P880" t="str">
        <f t="shared" si="26"/>
        <v>Low Value</v>
      </c>
      <c r="Q880" t="str">
        <f t="shared" si="27"/>
        <v>Medium</v>
      </c>
      <c r="R880" t="str" cm="1">
        <f t="array" ref="R880">_xlfn.IFS(L880&gt;50000,"Premium",L880&gt;20000,"High",L880&gt;5000,"Medium",TRUE,"Low")</f>
        <v>Medium</v>
      </c>
    </row>
    <row r="881" spans="1:18" x14ac:dyDescent="0.3">
      <c r="A881" t="s">
        <v>1734</v>
      </c>
      <c r="B881" s="1">
        <v>45057</v>
      </c>
      <c r="C881" t="s">
        <v>1622</v>
      </c>
      <c r="D881" t="s">
        <v>1053</v>
      </c>
      <c r="E881" t="s">
        <v>26</v>
      </c>
      <c r="F881" t="s">
        <v>49</v>
      </c>
      <c r="G881" t="s">
        <v>753</v>
      </c>
      <c r="H881">
        <v>3</v>
      </c>
      <c r="I881">
        <v>299</v>
      </c>
      <c r="J881">
        <v>20</v>
      </c>
      <c r="K881">
        <v>179.4</v>
      </c>
      <c r="L881">
        <v>717.6</v>
      </c>
      <c r="M881">
        <v>188.54</v>
      </c>
      <c r="N881" t="s">
        <v>41</v>
      </c>
      <c r="O881" t="s">
        <v>35</v>
      </c>
      <c r="P881" t="str">
        <f t="shared" si="26"/>
        <v>Low Value</v>
      </c>
      <c r="Q881" t="str">
        <f t="shared" si="27"/>
        <v>Low</v>
      </c>
      <c r="R881" t="str" cm="1">
        <f t="array" ref="R881">_xlfn.IFS(L881&gt;50000,"Premium",L881&gt;20000,"High",L881&gt;5000,"Medium",TRUE,"Low")</f>
        <v>Low</v>
      </c>
    </row>
    <row r="882" spans="1:18" x14ac:dyDescent="0.3">
      <c r="A882" t="s">
        <v>1735</v>
      </c>
      <c r="B882" s="1">
        <v>45051</v>
      </c>
      <c r="C882" t="s">
        <v>1736</v>
      </c>
      <c r="D882" t="s">
        <v>274</v>
      </c>
      <c r="E882" t="s">
        <v>54</v>
      </c>
      <c r="F882" t="s">
        <v>39</v>
      </c>
      <c r="G882" t="s">
        <v>40</v>
      </c>
      <c r="H882">
        <v>3</v>
      </c>
      <c r="I882">
        <v>8500</v>
      </c>
      <c r="J882">
        <v>25</v>
      </c>
      <c r="K882">
        <v>6375</v>
      </c>
      <c r="L882">
        <v>19125</v>
      </c>
      <c r="M882">
        <v>5010.13</v>
      </c>
      <c r="N882" t="s">
        <v>27</v>
      </c>
      <c r="O882" t="s">
        <v>35</v>
      </c>
      <c r="P882" t="str">
        <f t="shared" si="26"/>
        <v>Low Value</v>
      </c>
      <c r="Q882" t="str">
        <f t="shared" si="27"/>
        <v>Medium</v>
      </c>
      <c r="R882" t="str" cm="1">
        <f t="array" ref="R882">_xlfn.IFS(L882&gt;50000,"Premium",L882&gt;20000,"High",L882&gt;5000,"Medium",TRUE,"Low")</f>
        <v>Medium</v>
      </c>
    </row>
    <row r="883" spans="1:18" x14ac:dyDescent="0.3">
      <c r="A883" t="s">
        <v>1737</v>
      </c>
      <c r="B883" s="1">
        <v>45053</v>
      </c>
      <c r="C883" t="s">
        <v>407</v>
      </c>
      <c r="D883" t="s">
        <v>981</v>
      </c>
      <c r="E883" t="s">
        <v>18</v>
      </c>
      <c r="F883" t="s">
        <v>74</v>
      </c>
      <c r="G883" t="s">
        <v>144</v>
      </c>
      <c r="H883">
        <v>2</v>
      </c>
      <c r="I883">
        <v>1500</v>
      </c>
      <c r="J883">
        <v>0</v>
      </c>
      <c r="K883">
        <v>0</v>
      </c>
      <c r="L883">
        <v>3000</v>
      </c>
      <c r="M883">
        <v>255.06</v>
      </c>
      <c r="N883" t="s">
        <v>21</v>
      </c>
      <c r="O883" t="s">
        <v>35</v>
      </c>
      <c r="P883" t="str">
        <f t="shared" si="26"/>
        <v>Low Value</v>
      </c>
      <c r="Q883" t="str">
        <f t="shared" si="27"/>
        <v>Low</v>
      </c>
      <c r="R883" t="str" cm="1">
        <f t="array" ref="R883">_xlfn.IFS(L883&gt;50000,"Premium",L883&gt;20000,"High",L883&gt;5000,"Medium",TRUE,"Low")</f>
        <v>Low</v>
      </c>
    </row>
    <row r="884" spans="1:18" x14ac:dyDescent="0.3">
      <c r="A884" t="s">
        <v>1738</v>
      </c>
      <c r="B884" s="1">
        <v>45143</v>
      </c>
      <c r="C884" t="s">
        <v>1739</v>
      </c>
      <c r="D884" t="s">
        <v>1175</v>
      </c>
      <c r="E884" t="s">
        <v>78</v>
      </c>
      <c r="F884" t="s">
        <v>69</v>
      </c>
      <c r="G884" t="s">
        <v>111</v>
      </c>
      <c r="H884">
        <v>4</v>
      </c>
      <c r="I884">
        <v>3499</v>
      </c>
      <c r="J884">
        <v>10</v>
      </c>
      <c r="K884">
        <v>1399.6</v>
      </c>
      <c r="L884">
        <v>12596.4</v>
      </c>
      <c r="M884">
        <v>3244.22</v>
      </c>
      <c r="N884" t="s">
        <v>41</v>
      </c>
      <c r="O884" t="s">
        <v>35</v>
      </c>
      <c r="P884" t="str">
        <f t="shared" si="26"/>
        <v>Low Value</v>
      </c>
      <c r="Q884" t="str">
        <f t="shared" si="27"/>
        <v>Medium</v>
      </c>
      <c r="R884" t="str" cm="1">
        <f t="array" ref="R884">_xlfn.IFS(L884&gt;50000,"Premium",L884&gt;20000,"High",L884&gt;5000,"Medium",TRUE,"Low")</f>
        <v>Medium</v>
      </c>
    </row>
    <row r="885" spans="1:18" x14ac:dyDescent="0.3">
      <c r="A885" t="s">
        <v>1740</v>
      </c>
      <c r="B885" s="1">
        <v>44982</v>
      </c>
      <c r="C885" t="s">
        <v>865</v>
      </c>
      <c r="D885" t="s">
        <v>466</v>
      </c>
      <c r="E885" t="s">
        <v>59</v>
      </c>
      <c r="F885" t="s">
        <v>60</v>
      </c>
      <c r="G885" t="s">
        <v>61</v>
      </c>
      <c r="H885">
        <v>3</v>
      </c>
      <c r="I885">
        <v>850</v>
      </c>
      <c r="J885">
        <v>5</v>
      </c>
      <c r="K885">
        <v>127.5</v>
      </c>
      <c r="L885">
        <v>2422.5</v>
      </c>
      <c r="M885">
        <v>316.64</v>
      </c>
      <c r="N885" t="s">
        <v>27</v>
      </c>
      <c r="O885" t="s">
        <v>22</v>
      </c>
      <c r="P885" t="str">
        <f t="shared" si="26"/>
        <v>Low Value</v>
      </c>
      <c r="Q885" t="str">
        <f t="shared" si="27"/>
        <v>Low</v>
      </c>
      <c r="R885" t="str" cm="1">
        <f t="array" ref="R885">_xlfn.IFS(L885&gt;50000,"Premium",L885&gt;20000,"High",L885&gt;5000,"Medium",TRUE,"Low")</f>
        <v>Low</v>
      </c>
    </row>
    <row r="886" spans="1:18" x14ac:dyDescent="0.3">
      <c r="A886" t="s">
        <v>1741</v>
      </c>
      <c r="B886" s="1">
        <v>44927</v>
      </c>
      <c r="C886" t="s">
        <v>591</v>
      </c>
      <c r="D886" t="s">
        <v>840</v>
      </c>
      <c r="E886" t="s">
        <v>83</v>
      </c>
      <c r="F886" t="s">
        <v>19</v>
      </c>
      <c r="G886" t="s">
        <v>20</v>
      </c>
      <c r="H886">
        <v>4</v>
      </c>
      <c r="I886">
        <v>18000</v>
      </c>
      <c r="J886">
        <v>20</v>
      </c>
      <c r="K886">
        <v>14400</v>
      </c>
      <c r="L886">
        <v>57600</v>
      </c>
      <c r="M886">
        <v>10083.040000000001</v>
      </c>
      <c r="N886" t="s">
        <v>34</v>
      </c>
      <c r="O886" t="s">
        <v>35</v>
      </c>
      <c r="P886" t="str">
        <f t="shared" si="26"/>
        <v>High Value</v>
      </c>
      <c r="Q886" t="str">
        <f t="shared" si="27"/>
        <v>Premium</v>
      </c>
      <c r="R886" t="str" cm="1">
        <f t="array" ref="R886">_xlfn.IFS(L886&gt;50000,"Premium",L886&gt;20000,"High",L886&gt;5000,"Medium",TRUE,"Low")</f>
        <v>Premium</v>
      </c>
    </row>
    <row r="887" spans="1:18" x14ac:dyDescent="0.3">
      <c r="A887" t="s">
        <v>1742</v>
      </c>
      <c r="B887" s="1">
        <v>45287</v>
      </c>
      <c r="C887" t="s">
        <v>1150</v>
      </c>
      <c r="D887" t="s">
        <v>992</v>
      </c>
      <c r="E887" t="s">
        <v>31</v>
      </c>
      <c r="F887" t="s">
        <v>69</v>
      </c>
      <c r="G887" t="s">
        <v>202</v>
      </c>
      <c r="H887">
        <v>4</v>
      </c>
      <c r="I887">
        <v>1299</v>
      </c>
      <c r="J887">
        <v>5</v>
      </c>
      <c r="K887">
        <v>259.8</v>
      </c>
      <c r="L887">
        <v>4936.2</v>
      </c>
      <c r="M887">
        <v>991.11</v>
      </c>
      <c r="N887" t="s">
        <v>27</v>
      </c>
      <c r="O887" t="s">
        <v>35</v>
      </c>
      <c r="P887" t="str">
        <f t="shared" si="26"/>
        <v>Low Value</v>
      </c>
      <c r="Q887" t="str">
        <f t="shared" si="27"/>
        <v>Low</v>
      </c>
      <c r="R887" t="str" cm="1">
        <f t="array" ref="R887">_xlfn.IFS(L887&gt;50000,"Premium",L887&gt;20000,"High",L887&gt;5000,"Medium",TRUE,"Low")</f>
        <v>Low</v>
      </c>
    </row>
    <row r="888" spans="1:18" x14ac:dyDescent="0.3">
      <c r="A888" t="s">
        <v>1743</v>
      </c>
      <c r="B888" s="1">
        <v>44957</v>
      </c>
      <c r="C888" t="s">
        <v>640</v>
      </c>
      <c r="D888" t="s">
        <v>626</v>
      </c>
      <c r="E888" t="s">
        <v>18</v>
      </c>
      <c r="F888" t="s">
        <v>60</v>
      </c>
      <c r="G888" t="s">
        <v>165</v>
      </c>
      <c r="H888">
        <v>2</v>
      </c>
      <c r="I888">
        <v>300</v>
      </c>
      <c r="J888">
        <v>10</v>
      </c>
      <c r="K888">
        <v>60</v>
      </c>
      <c r="L888">
        <v>540</v>
      </c>
      <c r="M888">
        <v>186.24</v>
      </c>
      <c r="N888" t="s">
        <v>27</v>
      </c>
      <c r="O888" t="s">
        <v>35</v>
      </c>
      <c r="P888" t="str">
        <f t="shared" si="26"/>
        <v>Low Value</v>
      </c>
      <c r="Q888" t="str">
        <f t="shared" si="27"/>
        <v>Low</v>
      </c>
      <c r="R888" t="str" cm="1">
        <f t="array" ref="R888">_xlfn.IFS(L888&gt;50000,"Premium",L888&gt;20000,"High",L888&gt;5000,"Medium",TRUE,"Low")</f>
        <v>Low</v>
      </c>
    </row>
    <row r="889" spans="1:18" x14ac:dyDescent="0.3">
      <c r="A889" t="s">
        <v>1744</v>
      </c>
      <c r="B889" s="1">
        <v>45077</v>
      </c>
      <c r="C889" t="s">
        <v>1296</v>
      </c>
      <c r="D889" t="s">
        <v>1745</v>
      </c>
      <c r="E889" t="s">
        <v>54</v>
      </c>
      <c r="F889" t="s">
        <v>19</v>
      </c>
      <c r="G889" t="s">
        <v>229</v>
      </c>
      <c r="H889">
        <v>1</v>
      </c>
      <c r="I889">
        <v>8000</v>
      </c>
      <c r="J889">
        <v>10</v>
      </c>
      <c r="K889">
        <v>800</v>
      </c>
      <c r="L889">
        <v>7200</v>
      </c>
      <c r="M889">
        <v>498.81</v>
      </c>
      <c r="N889" t="s">
        <v>41</v>
      </c>
      <c r="O889" t="s">
        <v>35</v>
      </c>
      <c r="P889" t="str">
        <f t="shared" si="26"/>
        <v>Low Value</v>
      </c>
      <c r="Q889" t="str">
        <f t="shared" si="27"/>
        <v>Medium</v>
      </c>
      <c r="R889" t="str" cm="1">
        <f t="array" ref="R889">_xlfn.IFS(L889&gt;50000,"Premium",L889&gt;20000,"High",L889&gt;5000,"Medium",TRUE,"Low")</f>
        <v>Medium</v>
      </c>
    </row>
    <row r="890" spans="1:18" x14ac:dyDescent="0.3">
      <c r="A890" t="s">
        <v>1746</v>
      </c>
      <c r="B890" s="1">
        <v>44931</v>
      </c>
      <c r="C890" t="s">
        <v>1407</v>
      </c>
      <c r="D890" t="s">
        <v>270</v>
      </c>
      <c r="E890" t="s">
        <v>59</v>
      </c>
      <c r="F890" t="s">
        <v>19</v>
      </c>
      <c r="G890" t="s">
        <v>103</v>
      </c>
      <c r="H890">
        <v>1</v>
      </c>
      <c r="I890">
        <v>3500</v>
      </c>
      <c r="J890">
        <v>25</v>
      </c>
      <c r="K890">
        <v>875</v>
      </c>
      <c r="L890">
        <v>2625</v>
      </c>
      <c r="M890">
        <v>589.92999999999995</v>
      </c>
      <c r="N890" t="s">
        <v>41</v>
      </c>
      <c r="O890" t="s">
        <v>95</v>
      </c>
      <c r="P890" t="str">
        <f t="shared" si="26"/>
        <v>Low Value</v>
      </c>
      <c r="Q890" t="str">
        <f t="shared" si="27"/>
        <v>Low</v>
      </c>
      <c r="R890" t="str" cm="1">
        <f t="array" ref="R890">_xlfn.IFS(L890&gt;50000,"Premium",L890&gt;20000,"High",L890&gt;5000,"Medium",TRUE,"Low")</f>
        <v>Low</v>
      </c>
    </row>
    <row r="891" spans="1:18" x14ac:dyDescent="0.3">
      <c r="A891" t="s">
        <v>1747</v>
      </c>
      <c r="B891" s="1">
        <v>45193</v>
      </c>
      <c r="C891" t="s">
        <v>150</v>
      </c>
      <c r="D891" t="s">
        <v>327</v>
      </c>
      <c r="E891" t="s">
        <v>48</v>
      </c>
      <c r="F891" t="s">
        <v>49</v>
      </c>
      <c r="G891" t="s">
        <v>161</v>
      </c>
      <c r="H891">
        <v>4</v>
      </c>
      <c r="I891">
        <v>599</v>
      </c>
      <c r="J891">
        <v>15</v>
      </c>
      <c r="K891">
        <v>359.4</v>
      </c>
      <c r="L891">
        <v>2036.6</v>
      </c>
      <c r="M891">
        <v>564.29</v>
      </c>
      <c r="N891" t="s">
        <v>34</v>
      </c>
      <c r="O891" t="s">
        <v>35</v>
      </c>
      <c r="P891" t="str">
        <f t="shared" si="26"/>
        <v>Low Value</v>
      </c>
      <c r="Q891" t="str">
        <f t="shared" si="27"/>
        <v>Low</v>
      </c>
      <c r="R891" t="str" cm="1">
        <f t="array" ref="R891">_xlfn.IFS(L891&gt;50000,"Premium",L891&gt;20000,"High",L891&gt;5000,"Medium",TRUE,"Low")</f>
        <v>Low</v>
      </c>
    </row>
    <row r="892" spans="1:18" x14ac:dyDescent="0.3">
      <c r="A892" t="s">
        <v>1748</v>
      </c>
      <c r="B892" s="1">
        <v>45049</v>
      </c>
      <c r="C892" t="s">
        <v>1224</v>
      </c>
      <c r="D892" t="s">
        <v>566</v>
      </c>
      <c r="E892" t="s">
        <v>18</v>
      </c>
      <c r="F892" t="s">
        <v>32</v>
      </c>
      <c r="G892" t="s">
        <v>55</v>
      </c>
      <c r="H892">
        <v>4</v>
      </c>
      <c r="I892">
        <v>250</v>
      </c>
      <c r="J892">
        <v>15</v>
      </c>
      <c r="K892">
        <v>150</v>
      </c>
      <c r="L892">
        <v>850</v>
      </c>
      <c r="M892">
        <v>198.26</v>
      </c>
      <c r="N892" t="s">
        <v>99</v>
      </c>
      <c r="O892" t="s">
        <v>22</v>
      </c>
      <c r="P892" t="str">
        <f t="shared" si="26"/>
        <v>Low Value</v>
      </c>
      <c r="Q892" t="str">
        <f t="shared" si="27"/>
        <v>Low</v>
      </c>
      <c r="R892" t="str" cm="1">
        <f t="array" ref="R892">_xlfn.IFS(L892&gt;50000,"Premium",L892&gt;20000,"High",L892&gt;5000,"Medium",TRUE,"Low")</f>
        <v>Low</v>
      </c>
    </row>
    <row r="893" spans="1:18" x14ac:dyDescent="0.3">
      <c r="A893" t="s">
        <v>1749</v>
      </c>
      <c r="B893" s="1">
        <v>45284</v>
      </c>
      <c r="C893" t="s">
        <v>936</v>
      </c>
      <c r="D893" t="s">
        <v>678</v>
      </c>
      <c r="E893" t="s">
        <v>31</v>
      </c>
      <c r="F893" t="s">
        <v>39</v>
      </c>
      <c r="G893" t="s">
        <v>213</v>
      </c>
      <c r="H893">
        <v>2</v>
      </c>
      <c r="I893">
        <v>15000</v>
      </c>
      <c r="J893">
        <v>0</v>
      </c>
      <c r="K893">
        <v>0</v>
      </c>
      <c r="L893">
        <v>30000</v>
      </c>
      <c r="M893">
        <v>6917.18</v>
      </c>
      <c r="N893" t="s">
        <v>34</v>
      </c>
      <c r="O893" t="s">
        <v>22</v>
      </c>
      <c r="P893" t="str">
        <f t="shared" si="26"/>
        <v>High Value</v>
      </c>
      <c r="Q893" t="str">
        <f t="shared" si="27"/>
        <v>High</v>
      </c>
      <c r="R893" t="str" cm="1">
        <f t="array" ref="R893">_xlfn.IFS(L893&gt;50000,"Premium",L893&gt;20000,"High",L893&gt;5000,"Medium",TRUE,"Low")</f>
        <v>High</v>
      </c>
    </row>
    <row r="894" spans="1:18" x14ac:dyDescent="0.3">
      <c r="A894" t="s">
        <v>1750</v>
      </c>
      <c r="B894" s="1">
        <v>45243</v>
      </c>
      <c r="C894" t="s">
        <v>905</v>
      </c>
      <c r="D894" t="s">
        <v>1470</v>
      </c>
      <c r="E894" t="s">
        <v>59</v>
      </c>
      <c r="F894" t="s">
        <v>60</v>
      </c>
      <c r="G894" t="s">
        <v>115</v>
      </c>
      <c r="H894">
        <v>4</v>
      </c>
      <c r="I894">
        <v>1800</v>
      </c>
      <c r="J894">
        <v>20</v>
      </c>
      <c r="K894">
        <v>1440</v>
      </c>
      <c r="L894">
        <v>5760</v>
      </c>
      <c r="M894">
        <v>1001.88</v>
      </c>
      <c r="N894" t="s">
        <v>34</v>
      </c>
      <c r="O894" t="s">
        <v>35</v>
      </c>
      <c r="P894" t="str">
        <f t="shared" si="26"/>
        <v>Low Value</v>
      </c>
      <c r="Q894" t="str">
        <f t="shared" si="27"/>
        <v>Medium</v>
      </c>
      <c r="R894" t="str" cm="1">
        <f t="array" ref="R894">_xlfn.IFS(L894&gt;50000,"Premium",L894&gt;20000,"High",L894&gt;5000,"Medium",TRUE,"Low")</f>
        <v>Medium</v>
      </c>
    </row>
    <row r="895" spans="1:18" x14ac:dyDescent="0.3">
      <c r="A895" t="s">
        <v>1751</v>
      </c>
      <c r="B895" s="1">
        <v>45093</v>
      </c>
      <c r="C895" t="s">
        <v>1752</v>
      </c>
      <c r="D895" t="s">
        <v>1652</v>
      </c>
      <c r="E895" t="s">
        <v>48</v>
      </c>
      <c r="F895" t="s">
        <v>60</v>
      </c>
      <c r="G895" t="s">
        <v>365</v>
      </c>
      <c r="H895">
        <v>2</v>
      </c>
      <c r="I895">
        <v>650</v>
      </c>
      <c r="J895">
        <v>20</v>
      </c>
      <c r="K895">
        <v>260</v>
      </c>
      <c r="L895">
        <v>1040</v>
      </c>
      <c r="M895">
        <v>203.18</v>
      </c>
      <c r="N895" t="s">
        <v>41</v>
      </c>
      <c r="O895" t="s">
        <v>22</v>
      </c>
      <c r="P895" t="str">
        <f t="shared" si="26"/>
        <v>Low Value</v>
      </c>
      <c r="Q895" t="str">
        <f t="shared" si="27"/>
        <v>Low</v>
      </c>
      <c r="R895" t="str" cm="1">
        <f t="array" ref="R895">_xlfn.IFS(L895&gt;50000,"Premium",L895&gt;20000,"High",L895&gt;5000,"Medium",TRUE,"Low")</f>
        <v>Low</v>
      </c>
    </row>
    <row r="896" spans="1:18" x14ac:dyDescent="0.3">
      <c r="A896" t="s">
        <v>1753</v>
      </c>
      <c r="B896" s="1">
        <v>45264</v>
      </c>
      <c r="C896" t="s">
        <v>552</v>
      </c>
      <c r="D896" t="s">
        <v>853</v>
      </c>
      <c r="E896" t="s">
        <v>59</v>
      </c>
      <c r="F896" t="s">
        <v>49</v>
      </c>
      <c r="G896" t="s">
        <v>458</v>
      </c>
      <c r="H896">
        <v>1</v>
      </c>
      <c r="I896">
        <v>549</v>
      </c>
      <c r="J896">
        <v>25</v>
      </c>
      <c r="K896">
        <v>137.25</v>
      </c>
      <c r="L896">
        <v>411.75</v>
      </c>
      <c r="M896">
        <v>68.13</v>
      </c>
      <c r="N896" t="s">
        <v>27</v>
      </c>
      <c r="O896" t="s">
        <v>22</v>
      </c>
      <c r="P896" t="str">
        <f t="shared" si="26"/>
        <v>Low Value</v>
      </c>
      <c r="Q896" t="str">
        <f t="shared" si="27"/>
        <v>Low</v>
      </c>
      <c r="R896" t="str" cm="1">
        <f t="array" ref="R896">_xlfn.IFS(L896&gt;50000,"Premium",L896&gt;20000,"High",L896&gt;5000,"Medium",TRUE,"Low")</f>
        <v>Low</v>
      </c>
    </row>
    <row r="897" spans="1:18" x14ac:dyDescent="0.3">
      <c r="A897" t="s">
        <v>1754</v>
      </c>
      <c r="B897" s="1">
        <v>44971</v>
      </c>
      <c r="C897" t="s">
        <v>983</v>
      </c>
      <c r="D897" t="s">
        <v>1755</v>
      </c>
      <c r="E897" t="s">
        <v>31</v>
      </c>
      <c r="F897" t="s">
        <v>32</v>
      </c>
      <c r="G897" t="s">
        <v>33</v>
      </c>
      <c r="H897">
        <v>5</v>
      </c>
      <c r="I897">
        <v>400</v>
      </c>
      <c r="J897">
        <v>15</v>
      </c>
      <c r="K897">
        <v>300</v>
      </c>
      <c r="L897">
        <v>1700</v>
      </c>
      <c r="M897">
        <v>170.71</v>
      </c>
      <c r="N897" t="s">
        <v>27</v>
      </c>
      <c r="O897" t="s">
        <v>35</v>
      </c>
      <c r="P897" t="str">
        <f t="shared" si="26"/>
        <v>Low Value</v>
      </c>
      <c r="Q897" t="str">
        <f t="shared" si="27"/>
        <v>Low</v>
      </c>
      <c r="R897" t="str" cm="1">
        <f t="array" ref="R897">_xlfn.IFS(L897&gt;50000,"Premium",L897&gt;20000,"High",L897&gt;5000,"Medium",TRUE,"Low")</f>
        <v>Low</v>
      </c>
    </row>
    <row r="898" spans="1:18" x14ac:dyDescent="0.3">
      <c r="A898" t="s">
        <v>1756</v>
      </c>
      <c r="B898" s="1">
        <v>45014</v>
      </c>
      <c r="C898" t="s">
        <v>1447</v>
      </c>
      <c r="D898" t="s">
        <v>1153</v>
      </c>
      <c r="E898" t="s">
        <v>48</v>
      </c>
      <c r="F898" t="s">
        <v>49</v>
      </c>
      <c r="G898" t="s">
        <v>458</v>
      </c>
      <c r="H898">
        <v>1</v>
      </c>
      <c r="I898">
        <v>549</v>
      </c>
      <c r="J898">
        <v>0</v>
      </c>
      <c r="K898">
        <v>0</v>
      </c>
      <c r="L898">
        <v>549</v>
      </c>
      <c r="M898">
        <v>99.08</v>
      </c>
      <c r="N898" t="s">
        <v>41</v>
      </c>
      <c r="O898" t="s">
        <v>35</v>
      </c>
      <c r="P898" t="str">
        <f t="shared" si="26"/>
        <v>Low Value</v>
      </c>
      <c r="Q898" t="str">
        <f t="shared" si="27"/>
        <v>Low</v>
      </c>
      <c r="R898" t="str" cm="1">
        <f t="array" ref="R898">_xlfn.IFS(L898&gt;50000,"Premium",L898&gt;20000,"High",L898&gt;5000,"Medium",TRUE,"Low")</f>
        <v>Low</v>
      </c>
    </row>
    <row r="899" spans="1:18" x14ac:dyDescent="0.3">
      <c r="A899" t="s">
        <v>1757</v>
      </c>
      <c r="B899" s="1">
        <v>45039</v>
      </c>
      <c r="C899" t="s">
        <v>766</v>
      </c>
      <c r="D899" t="s">
        <v>125</v>
      </c>
      <c r="E899" t="s">
        <v>18</v>
      </c>
      <c r="F899" t="s">
        <v>60</v>
      </c>
      <c r="G899" t="s">
        <v>141</v>
      </c>
      <c r="H899">
        <v>4</v>
      </c>
      <c r="I899">
        <v>350</v>
      </c>
      <c r="J899">
        <v>25</v>
      </c>
      <c r="K899">
        <v>350</v>
      </c>
      <c r="L899">
        <v>1050</v>
      </c>
      <c r="M899">
        <v>91.28</v>
      </c>
      <c r="N899" t="s">
        <v>34</v>
      </c>
      <c r="O899" t="s">
        <v>35</v>
      </c>
      <c r="P899" t="str">
        <f t="shared" ref="P899:P962" si="28">IF(L899&gt;20000,"High Value","Low Value")</f>
        <v>Low Value</v>
      </c>
      <c r="Q899" t="str">
        <f t="shared" ref="Q899:Q962" si="29">IF(L899&gt;50000,"Premium",IF(L899&gt;20000,"High",IF(L899&gt;5000,"Medium","Low")))</f>
        <v>Low</v>
      </c>
      <c r="R899" t="str" cm="1">
        <f t="array" ref="R899">_xlfn.IFS(L899&gt;50000,"Premium",L899&gt;20000,"High",L899&gt;5000,"Medium",TRUE,"Low")</f>
        <v>Low</v>
      </c>
    </row>
    <row r="900" spans="1:18" x14ac:dyDescent="0.3">
      <c r="A900" t="s">
        <v>1758</v>
      </c>
      <c r="B900" s="1">
        <v>45221</v>
      </c>
      <c r="C900" t="s">
        <v>339</v>
      </c>
      <c r="D900" t="s">
        <v>1628</v>
      </c>
      <c r="E900" t="s">
        <v>26</v>
      </c>
      <c r="F900" t="s">
        <v>49</v>
      </c>
      <c r="G900" t="s">
        <v>331</v>
      </c>
      <c r="H900">
        <v>1</v>
      </c>
      <c r="I900">
        <v>699</v>
      </c>
      <c r="J900">
        <v>25</v>
      </c>
      <c r="K900">
        <v>174.75</v>
      </c>
      <c r="L900">
        <v>524.25</v>
      </c>
      <c r="M900">
        <v>80.19</v>
      </c>
      <c r="N900" t="s">
        <v>27</v>
      </c>
      <c r="O900" t="s">
        <v>35</v>
      </c>
      <c r="P900" t="str">
        <f t="shared" si="28"/>
        <v>Low Value</v>
      </c>
      <c r="Q900" t="str">
        <f t="shared" si="29"/>
        <v>Low</v>
      </c>
      <c r="R900" t="str" cm="1">
        <f t="array" ref="R900">_xlfn.IFS(L900&gt;50000,"Premium",L900&gt;20000,"High",L900&gt;5000,"Medium",TRUE,"Low")</f>
        <v>Low</v>
      </c>
    </row>
    <row r="901" spans="1:18" x14ac:dyDescent="0.3">
      <c r="A901" t="s">
        <v>1759</v>
      </c>
      <c r="B901" s="1">
        <v>45059</v>
      </c>
      <c r="C901" t="s">
        <v>808</v>
      </c>
      <c r="D901" t="s">
        <v>388</v>
      </c>
      <c r="E901" t="s">
        <v>18</v>
      </c>
      <c r="F901" t="s">
        <v>19</v>
      </c>
      <c r="G901" t="s">
        <v>103</v>
      </c>
      <c r="H901">
        <v>1</v>
      </c>
      <c r="I901">
        <v>3500</v>
      </c>
      <c r="J901">
        <v>0</v>
      </c>
      <c r="K901">
        <v>0</v>
      </c>
      <c r="L901">
        <v>3500</v>
      </c>
      <c r="M901">
        <v>268.60000000000002</v>
      </c>
      <c r="N901" t="s">
        <v>21</v>
      </c>
      <c r="O901" t="s">
        <v>35</v>
      </c>
      <c r="P901" t="str">
        <f t="shared" si="28"/>
        <v>Low Value</v>
      </c>
      <c r="Q901" t="str">
        <f t="shared" si="29"/>
        <v>Low</v>
      </c>
      <c r="R901" t="str" cm="1">
        <f t="array" ref="R901">_xlfn.IFS(L901&gt;50000,"Premium",L901&gt;20000,"High",L901&gt;5000,"Medium",TRUE,"Low")</f>
        <v>Low</v>
      </c>
    </row>
    <row r="902" spans="1:18" x14ac:dyDescent="0.3">
      <c r="A902" t="s">
        <v>1760</v>
      </c>
      <c r="B902" s="1">
        <v>44992</v>
      </c>
      <c r="C902" t="s">
        <v>948</v>
      </c>
      <c r="D902" t="s">
        <v>129</v>
      </c>
      <c r="E902" t="s">
        <v>31</v>
      </c>
      <c r="F902" t="s">
        <v>49</v>
      </c>
      <c r="G902" t="s">
        <v>161</v>
      </c>
      <c r="H902">
        <v>4</v>
      </c>
      <c r="I902">
        <v>599</v>
      </c>
      <c r="J902">
        <v>20</v>
      </c>
      <c r="K902">
        <v>479.2</v>
      </c>
      <c r="L902">
        <v>1916.8</v>
      </c>
      <c r="M902">
        <v>519.6</v>
      </c>
      <c r="N902" t="s">
        <v>41</v>
      </c>
      <c r="O902" t="s">
        <v>22</v>
      </c>
      <c r="P902" t="str">
        <f t="shared" si="28"/>
        <v>Low Value</v>
      </c>
      <c r="Q902" t="str">
        <f t="shared" si="29"/>
        <v>Low</v>
      </c>
      <c r="R902" t="str" cm="1">
        <f t="array" ref="R902">_xlfn.IFS(L902&gt;50000,"Premium",L902&gt;20000,"High",L902&gt;5000,"Medium",TRUE,"Low")</f>
        <v>Low</v>
      </c>
    </row>
    <row r="903" spans="1:18" x14ac:dyDescent="0.3">
      <c r="A903" t="s">
        <v>1761</v>
      </c>
      <c r="B903" s="1">
        <v>45090</v>
      </c>
      <c r="C903" t="s">
        <v>1300</v>
      </c>
      <c r="D903" t="s">
        <v>1566</v>
      </c>
      <c r="E903" t="s">
        <v>26</v>
      </c>
      <c r="F903" t="s">
        <v>49</v>
      </c>
      <c r="G903" t="s">
        <v>161</v>
      </c>
      <c r="H903">
        <v>2</v>
      </c>
      <c r="I903">
        <v>599</v>
      </c>
      <c r="J903">
        <v>20</v>
      </c>
      <c r="K903">
        <v>239.6</v>
      </c>
      <c r="L903">
        <v>958.4</v>
      </c>
      <c r="M903">
        <v>238.76</v>
      </c>
      <c r="N903" t="s">
        <v>99</v>
      </c>
      <c r="O903" t="s">
        <v>95</v>
      </c>
      <c r="P903" t="str">
        <f t="shared" si="28"/>
        <v>Low Value</v>
      </c>
      <c r="Q903" t="str">
        <f t="shared" si="29"/>
        <v>Low</v>
      </c>
      <c r="R903" t="str" cm="1">
        <f t="array" ref="R903">_xlfn.IFS(L903&gt;50000,"Premium",L903&gt;20000,"High",L903&gt;5000,"Medium",TRUE,"Low")</f>
        <v>Low</v>
      </c>
    </row>
    <row r="904" spans="1:18" x14ac:dyDescent="0.3">
      <c r="A904" t="s">
        <v>1762</v>
      </c>
      <c r="B904" s="1">
        <v>45162</v>
      </c>
      <c r="C904" t="s">
        <v>730</v>
      </c>
      <c r="D904" t="s">
        <v>1294</v>
      </c>
      <c r="E904" t="s">
        <v>78</v>
      </c>
      <c r="F904" t="s">
        <v>32</v>
      </c>
      <c r="G904" t="s">
        <v>148</v>
      </c>
      <c r="H904">
        <v>3</v>
      </c>
      <c r="I904">
        <v>120</v>
      </c>
      <c r="J904">
        <v>5</v>
      </c>
      <c r="K904">
        <v>18</v>
      </c>
      <c r="L904">
        <v>342</v>
      </c>
      <c r="M904">
        <v>68.38</v>
      </c>
      <c r="N904" t="s">
        <v>27</v>
      </c>
      <c r="O904" t="s">
        <v>35</v>
      </c>
      <c r="P904" t="str">
        <f t="shared" si="28"/>
        <v>Low Value</v>
      </c>
      <c r="Q904" t="str">
        <f t="shared" si="29"/>
        <v>Low</v>
      </c>
      <c r="R904" t="str" cm="1">
        <f t="array" ref="R904">_xlfn.IFS(L904&gt;50000,"Premium",L904&gt;20000,"High",L904&gt;5000,"Medium",TRUE,"Low")</f>
        <v>Low</v>
      </c>
    </row>
    <row r="905" spans="1:18" x14ac:dyDescent="0.3">
      <c r="A905" t="s">
        <v>1763</v>
      </c>
      <c r="B905" s="1">
        <v>45233</v>
      </c>
      <c r="C905" t="s">
        <v>1764</v>
      </c>
      <c r="D905" t="s">
        <v>685</v>
      </c>
      <c r="E905" t="s">
        <v>31</v>
      </c>
      <c r="F905" t="s">
        <v>32</v>
      </c>
      <c r="G905" t="s">
        <v>309</v>
      </c>
      <c r="H905">
        <v>5</v>
      </c>
      <c r="I905">
        <v>180</v>
      </c>
      <c r="J905">
        <v>25</v>
      </c>
      <c r="K905">
        <v>225</v>
      </c>
      <c r="L905">
        <v>675</v>
      </c>
      <c r="M905">
        <v>58.75</v>
      </c>
      <c r="N905" t="s">
        <v>41</v>
      </c>
      <c r="O905" t="s">
        <v>35</v>
      </c>
      <c r="P905" t="str">
        <f t="shared" si="28"/>
        <v>Low Value</v>
      </c>
      <c r="Q905" t="str">
        <f t="shared" si="29"/>
        <v>Low</v>
      </c>
      <c r="R905" t="str" cm="1">
        <f t="array" ref="R905">_xlfn.IFS(L905&gt;50000,"Premium",L905&gt;20000,"High",L905&gt;5000,"Medium",TRUE,"Low")</f>
        <v>Low</v>
      </c>
    </row>
    <row r="906" spans="1:18" x14ac:dyDescent="0.3">
      <c r="A906" t="s">
        <v>1765</v>
      </c>
      <c r="B906" s="1">
        <v>45287</v>
      </c>
      <c r="C906" t="s">
        <v>865</v>
      </c>
      <c r="D906" t="s">
        <v>580</v>
      </c>
      <c r="E906" t="s">
        <v>83</v>
      </c>
      <c r="F906" t="s">
        <v>39</v>
      </c>
      <c r="G906" t="s">
        <v>40</v>
      </c>
      <c r="H906">
        <v>3</v>
      </c>
      <c r="I906">
        <v>8500</v>
      </c>
      <c r="J906">
        <v>5</v>
      </c>
      <c r="K906">
        <v>1275</v>
      </c>
      <c r="L906">
        <v>24225</v>
      </c>
      <c r="M906">
        <v>7227.9</v>
      </c>
      <c r="N906" t="s">
        <v>41</v>
      </c>
      <c r="O906" t="s">
        <v>22</v>
      </c>
      <c r="P906" t="str">
        <f t="shared" si="28"/>
        <v>High Value</v>
      </c>
      <c r="Q906" t="str">
        <f t="shared" si="29"/>
        <v>High</v>
      </c>
      <c r="R906" t="str" cm="1">
        <f t="array" ref="R906">_xlfn.IFS(L906&gt;50000,"Premium",L906&gt;20000,"High",L906&gt;5000,"Medium",TRUE,"Low")</f>
        <v>High</v>
      </c>
    </row>
    <row r="907" spans="1:18" x14ac:dyDescent="0.3">
      <c r="A907" t="s">
        <v>1766</v>
      </c>
      <c r="B907" s="1">
        <v>45080</v>
      </c>
      <c r="C907" t="s">
        <v>1599</v>
      </c>
      <c r="D907" t="s">
        <v>305</v>
      </c>
      <c r="E907" t="s">
        <v>48</v>
      </c>
      <c r="F907" t="s">
        <v>49</v>
      </c>
      <c r="G907" t="s">
        <v>458</v>
      </c>
      <c r="H907">
        <v>2</v>
      </c>
      <c r="I907">
        <v>549</v>
      </c>
      <c r="J907">
        <v>0</v>
      </c>
      <c r="K907">
        <v>0</v>
      </c>
      <c r="L907">
        <v>1098</v>
      </c>
      <c r="M907">
        <v>235.39</v>
      </c>
      <c r="N907" t="s">
        <v>41</v>
      </c>
      <c r="O907" t="s">
        <v>22</v>
      </c>
      <c r="P907" t="str">
        <f t="shared" si="28"/>
        <v>Low Value</v>
      </c>
      <c r="Q907" t="str">
        <f t="shared" si="29"/>
        <v>Low</v>
      </c>
      <c r="R907" t="str" cm="1">
        <f t="array" ref="R907">_xlfn.IFS(L907&gt;50000,"Premium",L907&gt;20000,"High",L907&gt;5000,"Medium",TRUE,"Low")</f>
        <v>Low</v>
      </c>
    </row>
    <row r="908" spans="1:18" x14ac:dyDescent="0.3">
      <c r="A908" t="s">
        <v>1767</v>
      </c>
      <c r="B908" s="1">
        <v>44963</v>
      </c>
      <c r="C908" t="s">
        <v>1101</v>
      </c>
      <c r="D908" t="s">
        <v>1175</v>
      </c>
      <c r="E908" t="s">
        <v>18</v>
      </c>
      <c r="F908" t="s">
        <v>74</v>
      </c>
      <c r="G908" t="s">
        <v>192</v>
      </c>
      <c r="H908">
        <v>3</v>
      </c>
      <c r="I908">
        <v>12000</v>
      </c>
      <c r="J908">
        <v>10</v>
      </c>
      <c r="K908">
        <v>3600</v>
      </c>
      <c r="L908">
        <v>32400</v>
      </c>
      <c r="M908">
        <v>8388.7800000000007</v>
      </c>
      <c r="N908" t="s">
        <v>27</v>
      </c>
      <c r="O908" t="s">
        <v>35</v>
      </c>
      <c r="P908" t="str">
        <f t="shared" si="28"/>
        <v>High Value</v>
      </c>
      <c r="Q908" t="str">
        <f t="shared" si="29"/>
        <v>High</v>
      </c>
      <c r="R908" t="str" cm="1">
        <f t="array" ref="R908">_xlfn.IFS(L908&gt;50000,"Premium",L908&gt;20000,"High",L908&gt;5000,"Medium",TRUE,"Low")</f>
        <v>High</v>
      </c>
    </row>
    <row r="909" spans="1:18" x14ac:dyDescent="0.3">
      <c r="A909" t="s">
        <v>1768</v>
      </c>
      <c r="B909" s="1">
        <v>45224</v>
      </c>
      <c r="C909" t="s">
        <v>63</v>
      </c>
      <c r="D909" t="s">
        <v>1769</v>
      </c>
      <c r="E909" t="s">
        <v>83</v>
      </c>
      <c r="F909" t="s">
        <v>49</v>
      </c>
      <c r="G909" t="s">
        <v>753</v>
      </c>
      <c r="H909">
        <v>1</v>
      </c>
      <c r="I909">
        <v>299</v>
      </c>
      <c r="J909">
        <v>25</v>
      </c>
      <c r="K909">
        <v>74.75</v>
      </c>
      <c r="L909">
        <v>224.25</v>
      </c>
      <c r="M909">
        <v>31.67</v>
      </c>
      <c r="N909" t="s">
        <v>41</v>
      </c>
      <c r="O909" t="s">
        <v>22</v>
      </c>
      <c r="P909" t="str">
        <f t="shared" si="28"/>
        <v>Low Value</v>
      </c>
      <c r="Q909" t="str">
        <f t="shared" si="29"/>
        <v>Low</v>
      </c>
      <c r="R909" t="str" cm="1">
        <f t="array" ref="R909">_xlfn.IFS(L909&gt;50000,"Premium",L909&gt;20000,"High",L909&gt;5000,"Medium",TRUE,"Low")</f>
        <v>Low</v>
      </c>
    </row>
    <row r="910" spans="1:18" x14ac:dyDescent="0.3">
      <c r="A910" t="s">
        <v>1770</v>
      </c>
      <c r="B910" s="1">
        <v>45076</v>
      </c>
      <c r="C910" t="s">
        <v>1335</v>
      </c>
      <c r="D910" t="s">
        <v>1229</v>
      </c>
      <c r="E910" t="s">
        <v>18</v>
      </c>
      <c r="F910" t="s">
        <v>69</v>
      </c>
      <c r="G910" t="s">
        <v>202</v>
      </c>
      <c r="H910">
        <v>2</v>
      </c>
      <c r="I910">
        <v>1299</v>
      </c>
      <c r="J910">
        <v>25</v>
      </c>
      <c r="K910">
        <v>649.5</v>
      </c>
      <c r="L910">
        <v>1948.5</v>
      </c>
      <c r="M910">
        <v>211.8</v>
      </c>
      <c r="N910" t="s">
        <v>27</v>
      </c>
      <c r="O910" t="s">
        <v>22</v>
      </c>
      <c r="P910" t="str">
        <f t="shared" si="28"/>
        <v>Low Value</v>
      </c>
      <c r="Q910" t="str">
        <f t="shared" si="29"/>
        <v>Low</v>
      </c>
      <c r="R910" t="str" cm="1">
        <f t="array" ref="R910">_xlfn.IFS(L910&gt;50000,"Premium",L910&gt;20000,"High",L910&gt;5000,"Medium",TRUE,"Low")</f>
        <v>Low</v>
      </c>
    </row>
    <row r="911" spans="1:18" x14ac:dyDescent="0.3">
      <c r="A911" t="s">
        <v>1771</v>
      </c>
      <c r="B911" s="1">
        <v>45145</v>
      </c>
      <c r="C911" t="s">
        <v>1059</v>
      </c>
      <c r="D911" t="s">
        <v>669</v>
      </c>
      <c r="E911" t="s">
        <v>59</v>
      </c>
      <c r="F911" t="s">
        <v>60</v>
      </c>
      <c r="G911" t="s">
        <v>349</v>
      </c>
      <c r="H911">
        <v>2</v>
      </c>
      <c r="I911">
        <v>250</v>
      </c>
      <c r="J911">
        <v>0</v>
      </c>
      <c r="K911">
        <v>0</v>
      </c>
      <c r="L911">
        <v>500</v>
      </c>
      <c r="M911">
        <v>39.409999999999997</v>
      </c>
      <c r="N911" t="s">
        <v>99</v>
      </c>
      <c r="O911" t="s">
        <v>95</v>
      </c>
      <c r="P911" t="str">
        <f t="shared" si="28"/>
        <v>Low Value</v>
      </c>
      <c r="Q911" t="str">
        <f t="shared" si="29"/>
        <v>Low</v>
      </c>
      <c r="R911" t="str" cm="1">
        <f t="array" ref="R911">_xlfn.IFS(L911&gt;50000,"Premium",L911&gt;20000,"High",L911&gt;5000,"Medium",TRUE,"Low")</f>
        <v>Low</v>
      </c>
    </row>
    <row r="912" spans="1:18" x14ac:dyDescent="0.3">
      <c r="A912" t="s">
        <v>1772</v>
      </c>
      <c r="B912" s="1">
        <v>45259</v>
      </c>
      <c r="C912" t="s">
        <v>1773</v>
      </c>
      <c r="D912" t="s">
        <v>580</v>
      </c>
      <c r="E912" t="s">
        <v>18</v>
      </c>
      <c r="F912" t="s">
        <v>32</v>
      </c>
      <c r="G912" t="s">
        <v>361</v>
      </c>
      <c r="H912">
        <v>4</v>
      </c>
      <c r="I912">
        <v>90</v>
      </c>
      <c r="J912">
        <v>5</v>
      </c>
      <c r="K912">
        <v>18</v>
      </c>
      <c r="L912">
        <v>342</v>
      </c>
      <c r="M912">
        <v>81.430000000000007</v>
      </c>
      <c r="N912" t="s">
        <v>27</v>
      </c>
      <c r="O912" t="s">
        <v>22</v>
      </c>
      <c r="P912" t="str">
        <f t="shared" si="28"/>
        <v>Low Value</v>
      </c>
      <c r="Q912" t="str">
        <f t="shared" si="29"/>
        <v>Low</v>
      </c>
      <c r="R912" t="str" cm="1">
        <f t="array" ref="R912">_xlfn.IFS(L912&gt;50000,"Premium",L912&gt;20000,"High",L912&gt;5000,"Medium",TRUE,"Low")</f>
        <v>Low</v>
      </c>
    </row>
    <row r="913" spans="1:18" x14ac:dyDescent="0.3">
      <c r="A913" t="s">
        <v>1774</v>
      </c>
      <c r="B913" s="1">
        <v>45177</v>
      </c>
      <c r="C913" t="s">
        <v>584</v>
      </c>
      <c r="D913" t="s">
        <v>118</v>
      </c>
      <c r="E913" t="s">
        <v>26</v>
      </c>
      <c r="F913" t="s">
        <v>32</v>
      </c>
      <c r="G913" t="s">
        <v>55</v>
      </c>
      <c r="H913">
        <v>5</v>
      </c>
      <c r="I913">
        <v>250</v>
      </c>
      <c r="J913">
        <v>5</v>
      </c>
      <c r="K913">
        <v>62.5</v>
      </c>
      <c r="L913">
        <v>1187.5</v>
      </c>
      <c r="M913">
        <v>291.93</v>
      </c>
      <c r="N913" t="s">
        <v>34</v>
      </c>
      <c r="O913" t="s">
        <v>22</v>
      </c>
      <c r="P913" t="str">
        <f t="shared" si="28"/>
        <v>Low Value</v>
      </c>
      <c r="Q913" t="str">
        <f t="shared" si="29"/>
        <v>Low</v>
      </c>
      <c r="R913" t="str" cm="1">
        <f t="array" ref="R913">_xlfn.IFS(L913&gt;50000,"Premium",L913&gt;20000,"High",L913&gt;5000,"Medium",TRUE,"Low")</f>
        <v>Low</v>
      </c>
    </row>
    <row r="914" spans="1:18" x14ac:dyDescent="0.3">
      <c r="A914" t="s">
        <v>1775</v>
      </c>
      <c r="B914" s="1">
        <v>45115</v>
      </c>
      <c r="C914" t="s">
        <v>1315</v>
      </c>
      <c r="D914" t="s">
        <v>646</v>
      </c>
      <c r="E914" t="s">
        <v>59</v>
      </c>
      <c r="F914" t="s">
        <v>19</v>
      </c>
      <c r="G914" t="s">
        <v>20</v>
      </c>
      <c r="H914">
        <v>1</v>
      </c>
      <c r="I914">
        <v>18000</v>
      </c>
      <c r="J914">
        <v>0</v>
      </c>
      <c r="K914">
        <v>0</v>
      </c>
      <c r="L914">
        <v>18000</v>
      </c>
      <c r="M914">
        <v>1559.08</v>
      </c>
      <c r="N914" t="s">
        <v>21</v>
      </c>
      <c r="O914" t="s">
        <v>95</v>
      </c>
      <c r="P914" t="str">
        <f t="shared" si="28"/>
        <v>Low Value</v>
      </c>
      <c r="Q914" t="str">
        <f t="shared" si="29"/>
        <v>Medium</v>
      </c>
      <c r="R914" t="str" cm="1">
        <f t="array" ref="R914">_xlfn.IFS(L914&gt;50000,"Premium",L914&gt;20000,"High",L914&gt;5000,"Medium",TRUE,"Low")</f>
        <v>Medium</v>
      </c>
    </row>
    <row r="915" spans="1:18" x14ac:dyDescent="0.3">
      <c r="A915" t="s">
        <v>1776</v>
      </c>
      <c r="B915" s="1">
        <v>45220</v>
      </c>
      <c r="C915" t="s">
        <v>994</v>
      </c>
      <c r="D915" t="s">
        <v>438</v>
      </c>
      <c r="E915" t="s">
        <v>83</v>
      </c>
      <c r="F915" t="s">
        <v>39</v>
      </c>
      <c r="G915" t="s">
        <v>126</v>
      </c>
      <c r="H915">
        <v>1</v>
      </c>
      <c r="I915">
        <v>4200</v>
      </c>
      <c r="J915">
        <v>20</v>
      </c>
      <c r="K915">
        <v>840</v>
      </c>
      <c r="L915">
        <v>3360</v>
      </c>
      <c r="M915">
        <v>350.55</v>
      </c>
      <c r="N915" t="s">
        <v>99</v>
      </c>
      <c r="O915" t="s">
        <v>35</v>
      </c>
      <c r="P915" t="str">
        <f t="shared" si="28"/>
        <v>Low Value</v>
      </c>
      <c r="Q915" t="str">
        <f t="shared" si="29"/>
        <v>Low</v>
      </c>
      <c r="R915" t="str" cm="1">
        <f t="array" ref="R915">_xlfn.IFS(L915&gt;50000,"Premium",L915&gt;20000,"High",L915&gt;5000,"Medium",TRUE,"Low")</f>
        <v>Low</v>
      </c>
    </row>
    <row r="916" spans="1:18" x14ac:dyDescent="0.3">
      <c r="A916" t="s">
        <v>1777</v>
      </c>
      <c r="B916" s="1">
        <v>44959</v>
      </c>
      <c r="C916" t="s">
        <v>533</v>
      </c>
      <c r="D916" t="s">
        <v>1085</v>
      </c>
      <c r="E916" t="s">
        <v>54</v>
      </c>
      <c r="F916" t="s">
        <v>60</v>
      </c>
      <c r="G916" t="s">
        <v>349</v>
      </c>
      <c r="H916">
        <v>5</v>
      </c>
      <c r="I916">
        <v>250</v>
      </c>
      <c r="J916">
        <v>5</v>
      </c>
      <c r="K916">
        <v>62.5</v>
      </c>
      <c r="L916">
        <v>1187.5</v>
      </c>
      <c r="M916">
        <v>203.77</v>
      </c>
      <c r="N916" t="s">
        <v>99</v>
      </c>
      <c r="O916" t="s">
        <v>95</v>
      </c>
      <c r="P916" t="str">
        <f t="shared" si="28"/>
        <v>Low Value</v>
      </c>
      <c r="Q916" t="str">
        <f t="shared" si="29"/>
        <v>Low</v>
      </c>
      <c r="R916" t="str" cm="1">
        <f t="array" ref="R916">_xlfn.IFS(L916&gt;50000,"Premium",L916&gt;20000,"High",L916&gt;5000,"Medium",TRUE,"Low")</f>
        <v>Low</v>
      </c>
    </row>
    <row r="917" spans="1:18" x14ac:dyDescent="0.3">
      <c r="A917" t="s">
        <v>1778</v>
      </c>
      <c r="B917" s="1">
        <v>45226</v>
      </c>
      <c r="C917" t="s">
        <v>1779</v>
      </c>
      <c r="D917" t="s">
        <v>1780</v>
      </c>
      <c r="E917" t="s">
        <v>83</v>
      </c>
      <c r="F917" t="s">
        <v>74</v>
      </c>
      <c r="G917" t="s">
        <v>192</v>
      </c>
      <c r="H917">
        <v>1</v>
      </c>
      <c r="I917">
        <v>12000</v>
      </c>
      <c r="J917">
        <v>5</v>
      </c>
      <c r="K917">
        <v>600</v>
      </c>
      <c r="L917">
        <v>11400</v>
      </c>
      <c r="M917">
        <v>3872.63</v>
      </c>
      <c r="N917" t="s">
        <v>99</v>
      </c>
      <c r="O917" t="s">
        <v>95</v>
      </c>
      <c r="P917" t="str">
        <f t="shared" si="28"/>
        <v>Low Value</v>
      </c>
      <c r="Q917" t="str">
        <f t="shared" si="29"/>
        <v>Medium</v>
      </c>
      <c r="R917" t="str" cm="1">
        <f t="array" ref="R917">_xlfn.IFS(L917&gt;50000,"Premium",L917&gt;20000,"High",L917&gt;5000,"Medium",TRUE,"Low")</f>
        <v>Medium</v>
      </c>
    </row>
    <row r="918" spans="1:18" x14ac:dyDescent="0.3">
      <c r="A918" t="s">
        <v>1781</v>
      </c>
      <c r="B918" s="1">
        <v>45155</v>
      </c>
      <c r="C918" t="s">
        <v>1222</v>
      </c>
      <c r="D918" t="s">
        <v>682</v>
      </c>
      <c r="E918" t="s">
        <v>78</v>
      </c>
      <c r="F918" t="s">
        <v>49</v>
      </c>
      <c r="G918" t="s">
        <v>161</v>
      </c>
      <c r="H918">
        <v>1</v>
      </c>
      <c r="I918">
        <v>599</v>
      </c>
      <c r="J918">
        <v>0</v>
      </c>
      <c r="K918">
        <v>0</v>
      </c>
      <c r="L918">
        <v>599</v>
      </c>
      <c r="M918">
        <v>53.1</v>
      </c>
      <c r="N918" t="s">
        <v>99</v>
      </c>
      <c r="O918" t="s">
        <v>35</v>
      </c>
      <c r="P918" t="str">
        <f t="shared" si="28"/>
        <v>Low Value</v>
      </c>
      <c r="Q918" t="str">
        <f t="shared" si="29"/>
        <v>Low</v>
      </c>
      <c r="R918" t="str" cm="1">
        <f t="array" ref="R918">_xlfn.IFS(L918&gt;50000,"Premium",L918&gt;20000,"High",L918&gt;5000,"Medium",TRUE,"Low")</f>
        <v>Low</v>
      </c>
    </row>
    <row r="919" spans="1:18" x14ac:dyDescent="0.3">
      <c r="A919" t="s">
        <v>1782</v>
      </c>
      <c r="B919" s="1">
        <v>44990</v>
      </c>
      <c r="C919" t="s">
        <v>360</v>
      </c>
      <c r="D919" t="s">
        <v>920</v>
      </c>
      <c r="E919" t="s">
        <v>78</v>
      </c>
      <c r="F919" t="s">
        <v>74</v>
      </c>
      <c r="G919" t="s">
        <v>341</v>
      </c>
      <c r="H919">
        <v>3</v>
      </c>
      <c r="I919">
        <v>700</v>
      </c>
      <c r="J919">
        <v>20</v>
      </c>
      <c r="K919">
        <v>420</v>
      </c>
      <c r="L919">
        <v>1680</v>
      </c>
      <c r="M919">
        <v>170.49</v>
      </c>
      <c r="N919" t="s">
        <v>99</v>
      </c>
      <c r="O919" t="s">
        <v>95</v>
      </c>
      <c r="P919" t="str">
        <f t="shared" si="28"/>
        <v>Low Value</v>
      </c>
      <c r="Q919" t="str">
        <f t="shared" si="29"/>
        <v>Low</v>
      </c>
      <c r="R919" t="str" cm="1">
        <f t="array" ref="R919">_xlfn.IFS(L919&gt;50000,"Premium",L919&gt;20000,"High",L919&gt;5000,"Medium",TRUE,"Low")</f>
        <v>Low</v>
      </c>
    </row>
    <row r="920" spans="1:18" x14ac:dyDescent="0.3">
      <c r="A920" t="s">
        <v>1783</v>
      </c>
      <c r="B920" s="1">
        <v>45077</v>
      </c>
      <c r="C920" t="s">
        <v>307</v>
      </c>
      <c r="D920" t="s">
        <v>946</v>
      </c>
      <c r="E920" t="s">
        <v>48</v>
      </c>
      <c r="F920" t="s">
        <v>60</v>
      </c>
      <c r="G920" t="s">
        <v>61</v>
      </c>
      <c r="H920">
        <v>4</v>
      </c>
      <c r="I920">
        <v>850</v>
      </c>
      <c r="J920">
        <v>5</v>
      </c>
      <c r="K920">
        <v>170</v>
      </c>
      <c r="L920">
        <v>3230</v>
      </c>
      <c r="M920">
        <v>720.68</v>
      </c>
      <c r="N920" t="s">
        <v>21</v>
      </c>
      <c r="O920" t="s">
        <v>95</v>
      </c>
      <c r="P920" t="str">
        <f t="shared" si="28"/>
        <v>Low Value</v>
      </c>
      <c r="Q920" t="str">
        <f t="shared" si="29"/>
        <v>Low</v>
      </c>
      <c r="R920" t="str" cm="1">
        <f t="array" ref="R920">_xlfn.IFS(L920&gt;50000,"Premium",L920&gt;20000,"High",L920&gt;5000,"Medium",TRUE,"Low")</f>
        <v>Low</v>
      </c>
    </row>
    <row r="921" spans="1:18" x14ac:dyDescent="0.3">
      <c r="A921" t="s">
        <v>1784</v>
      </c>
      <c r="B921" s="1">
        <v>45188</v>
      </c>
      <c r="C921" t="s">
        <v>1251</v>
      </c>
      <c r="D921" t="s">
        <v>1785</v>
      </c>
      <c r="E921" t="s">
        <v>83</v>
      </c>
      <c r="F921" t="s">
        <v>69</v>
      </c>
      <c r="G921" t="s">
        <v>70</v>
      </c>
      <c r="H921">
        <v>1</v>
      </c>
      <c r="I921">
        <v>2499</v>
      </c>
      <c r="J921">
        <v>25</v>
      </c>
      <c r="K921">
        <v>624.75</v>
      </c>
      <c r="L921">
        <v>1874.25</v>
      </c>
      <c r="M921">
        <v>554.64</v>
      </c>
      <c r="N921" t="s">
        <v>34</v>
      </c>
      <c r="O921" t="s">
        <v>35</v>
      </c>
      <c r="P921" t="str">
        <f t="shared" si="28"/>
        <v>Low Value</v>
      </c>
      <c r="Q921" t="str">
        <f t="shared" si="29"/>
        <v>Low</v>
      </c>
      <c r="R921" t="str" cm="1">
        <f t="array" ref="R921">_xlfn.IFS(L921&gt;50000,"Premium",L921&gt;20000,"High",L921&gt;5000,"Medium",TRUE,"Low")</f>
        <v>Low</v>
      </c>
    </row>
    <row r="922" spans="1:18" x14ac:dyDescent="0.3">
      <c r="A922" t="s">
        <v>1786</v>
      </c>
      <c r="B922" s="1">
        <v>44995</v>
      </c>
      <c r="C922" t="s">
        <v>159</v>
      </c>
      <c r="D922" t="s">
        <v>1486</v>
      </c>
      <c r="E922" t="s">
        <v>18</v>
      </c>
      <c r="F922" t="s">
        <v>74</v>
      </c>
      <c r="G922" t="s">
        <v>144</v>
      </c>
      <c r="H922">
        <v>2</v>
      </c>
      <c r="I922">
        <v>1500</v>
      </c>
      <c r="J922">
        <v>20</v>
      </c>
      <c r="K922">
        <v>600</v>
      </c>
      <c r="L922">
        <v>2400</v>
      </c>
      <c r="M922">
        <v>378.53</v>
      </c>
      <c r="N922" t="s">
        <v>21</v>
      </c>
      <c r="O922" t="s">
        <v>35</v>
      </c>
      <c r="P922" t="str">
        <f t="shared" si="28"/>
        <v>Low Value</v>
      </c>
      <c r="Q922" t="str">
        <f t="shared" si="29"/>
        <v>Low</v>
      </c>
      <c r="R922" t="str" cm="1">
        <f t="array" ref="R922">_xlfn.IFS(L922&gt;50000,"Premium",L922&gt;20000,"High",L922&gt;5000,"Medium",TRUE,"Low")</f>
        <v>Low</v>
      </c>
    </row>
    <row r="923" spans="1:18" x14ac:dyDescent="0.3">
      <c r="A923" t="s">
        <v>1787</v>
      </c>
      <c r="B923" s="1">
        <v>45060</v>
      </c>
      <c r="C923" t="s">
        <v>665</v>
      </c>
      <c r="D923" t="s">
        <v>1788</v>
      </c>
      <c r="E923" t="s">
        <v>83</v>
      </c>
      <c r="F923" t="s">
        <v>39</v>
      </c>
      <c r="G923" t="s">
        <v>213</v>
      </c>
      <c r="H923">
        <v>2</v>
      </c>
      <c r="I923">
        <v>15000</v>
      </c>
      <c r="J923">
        <v>15</v>
      </c>
      <c r="K923">
        <v>4500</v>
      </c>
      <c r="L923">
        <v>25500</v>
      </c>
      <c r="M923">
        <v>4763.92</v>
      </c>
      <c r="N923" t="s">
        <v>21</v>
      </c>
      <c r="O923" t="s">
        <v>35</v>
      </c>
      <c r="P923" t="str">
        <f t="shared" si="28"/>
        <v>High Value</v>
      </c>
      <c r="Q923" t="str">
        <f t="shared" si="29"/>
        <v>High</v>
      </c>
      <c r="R923" t="str" cm="1">
        <f t="array" ref="R923">_xlfn.IFS(L923&gt;50000,"Premium",L923&gt;20000,"High",L923&gt;5000,"Medium",TRUE,"Low")</f>
        <v>High</v>
      </c>
    </row>
    <row r="924" spans="1:18" x14ac:dyDescent="0.3">
      <c r="A924" t="s">
        <v>1789</v>
      </c>
      <c r="B924" s="1">
        <v>44963</v>
      </c>
      <c r="C924" t="s">
        <v>1790</v>
      </c>
      <c r="D924" t="s">
        <v>1136</v>
      </c>
      <c r="E924" t="s">
        <v>83</v>
      </c>
      <c r="F924" t="s">
        <v>60</v>
      </c>
      <c r="G924" t="s">
        <v>115</v>
      </c>
      <c r="H924">
        <v>3</v>
      </c>
      <c r="I924">
        <v>1800</v>
      </c>
      <c r="J924">
        <v>25</v>
      </c>
      <c r="K924">
        <v>1350</v>
      </c>
      <c r="L924">
        <v>4050</v>
      </c>
      <c r="M924">
        <v>1049.1199999999999</v>
      </c>
      <c r="N924" t="s">
        <v>41</v>
      </c>
      <c r="O924" t="s">
        <v>35</v>
      </c>
      <c r="P924" t="str">
        <f t="shared" si="28"/>
        <v>Low Value</v>
      </c>
      <c r="Q924" t="str">
        <f t="shared" si="29"/>
        <v>Low</v>
      </c>
      <c r="R924" t="str" cm="1">
        <f t="array" ref="R924">_xlfn.IFS(L924&gt;50000,"Premium",L924&gt;20000,"High",L924&gt;5000,"Medium",TRUE,"Low")</f>
        <v>Low</v>
      </c>
    </row>
    <row r="925" spans="1:18" x14ac:dyDescent="0.3">
      <c r="A925" t="s">
        <v>1791</v>
      </c>
      <c r="B925" s="1">
        <v>45088</v>
      </c>
      <c r="C925" t="s">
        <v>1472</v>
      </c>
      <c r="D925" t="s">
        <v>1097</v>
      </c>
      <c r="E925" t="s">
        <v>18</v>
      </c>
      <c r="F925" t="s">
        <v>49</v>
      </c>
      <c r="G925" t="s">
        <v>603</v>
      </c>
      <c r="H925">
        <v>4</v>
      </c>
      <c r="I925">
        <v>449</v>
      </c>
      <c r="J925">
        <v>0</v>
      </c>
      <c r="K925">
        <v>0</v>
      </c>
      <c r="L925">
        <v>1796</v>
      </c>
      <c r="M925">
        <v>609.21</v>
      </c>
      <c r="N925" t="s">
        <v>21</v>
      </c>
      <c r="O925" t="s">
        <v>35</v>
      </c>
      <c r="P925" t="str">
        <f t="shared" si="28"/>
        <v>Low Value</v>
      </c>
      <c r="Q925" t="str">
        <f t="shared" si="29"/>
        <v>Low</v>
      </c>
      <c r="R925" t="str" cm="1">
        <f t="array" ref="R925">_xlfn.IFS(L925&gt;50000,"Premium",L925&gt;20000,"High",L925&gt;5000,"Medium",TRUE,"Low")</f>
        <v>Low</v>
      </c>
    </row>
    <row r="926" spans="1:18" x14ac:dyDescent="0.3">
      <c r="A926" t="s">
        <v>1792</v>
      </c>
      <c r="B926" s="1">
        <v>45277</v>
      </c>
      <c r="C926" t="s">
        <v>1793</v>
      </c>
      <c r="D926" t="s">
        <v>666</v>
      </c>
      <c r="E926" t="s">
        <v>83</v>
      </c>
      <c r="F926" t="s">
        <v>74</v>
      </c>
      <c r="G926" t="s">
        <v>75</v>
      </c>
      <c r="H926">
        <v>1</v>
      </c>
      <c r="I926">
        <v>2200</v>
      </c>
      <c r="J926">
        <v>10</v>
      </c>
      <c r="K926">
        <v>220</v>
      </c>
      <c r="L926">
        <v>1980</v>
      </c>
      <c r="M926">
        <v>479.27</v>
      </c>
      <c r="N926" t="s">
        <v>27</v>
      </c>
      <c r="O926" t="s">
        <v>35</v>
      </c>
      <c r="P926" t="str">
        <f t="shared" si="28"/>
        <v>Low Value</v>
      </c>
      <c r="Q926" t="str">
        <f t="shared" si="29"/>
        <v>Low</v>
      </c>
      <c r="R926" t="str" cm="1">
        <f t="array" ref="R926">_xlfn.IFS(L926&gt;50000,"Premium",L926&gt;20000,"High",L926&gt;5000,"Medium",TRUE,"Low")</f>
        <v>Low</v>
      </c>
    </row>
    <row r="927" spans="1:18" x14ac:dyDescent="0.3">
      <c r="A927" t="s">
        <v>1794</v>
      </c>
      <c r="B927" s="1">
        <v>44932</v>
      </c>
      <c r="C927" t="s">
        <v>167</v>
      </c>
      <c r="D927" t="s">
        <v>1780</v>
      </c>
      <c r="E927" t="s">
        <v>78</v>
      </c>
      <c r="F927" t="s">
        <v>19</v>
      </c>
      <c r="G927" t="s">
        <v>229</v>
      </c>
      <c r="H927">
        <v>2</v>
      </c>
      <c r="I927">
        <v>8000</v>
      </c>
      <c r="J927">
        <v>15</v>
      </c>
      <c r="K927">
        <v>2400</v>
      </c>
      <c r="L927">
        <v>13600</v>
      </c>
      <c r="M927">
        <v>4563.2700000000004</v>
      </c>
      <c r="N927" t="s">
        <v>21</v>
      </c>
      <c r="O927" t="s">
        <v>22</v>
      </c>
      <c r="P927" t="str">
        <f t="shared" si="28"/>
        <v>Low Value</v>
      </c>
      <c r="Q927" t="str">
        <f t="shared" si="29"/>
        <v>Medium</v>
      </c>
      <c r="R927" t="str" cm="1">
        <f t="array" ref="R927">_xlfn.IFS(L927&gt;50000,"Premium",L927&gt;20000,"High",L927&gt;5000,"Medium",TRUE,"Low")</f>
        <v>Medium</v>
      </c>
    </row>
    <row r="928" spans="1:18" x14ac:dyDescent="0.3">
      <c r="A928" t="s">
        <v>1795</v>
      </c>
      <c r="B928" s="1">
        <v>44975</v>
      </c>
      <c r="C928" t="s">
        <v>793</v>
      </c>
      <c r="D928" t="s">
        <v>1796</v>
      </c>
      <c r="E928" t="s">
        <v>83</v>
      </c>
      <c r="F928" t="s">
        <v>74</v>
      </c>
      <c r="G928" t="s">
        <v>341</v>
      </c>
      <c r="H928">
        <v>5</v>
      </c>
      <c r="I928">
        <v>700</v>
      </c>
      <c r="J928">
        <v>10</v>
      </c>
      <c r="K928">
        <v>350</v>
      </c>
      <c r="L928">
        <v>3150</v>
      </c>
      <c r="M928">
        <v>678.71</v>
      </c>
      <c r="N928" t="s">
        <v>34</v>
      </c>
      <c r="O928" t="s">
        <v>22</v>
      </c>
      <c r="P928" t="str">
        <f t="shared" si="28"/>
        <v>Low Value</v>
      </c>
      <c r="Q928" t="str">
        <f t="shared" si="29"/>
        <v>Low</v>
      </c>
      <c r="R928" t="str" cm="1">
        <f t="array" ref="R928">_xlfn.IFS(L928&gt;50000,"Premium",L928&gt;20000,"High",L928&gt;5000,"Medium",TRUE,"Low")</f>
        <v>Low</v>
      </c>
    </row>
    <row r="929" spans="1:18" x14ac:dyDescent="0.3">
      <c r="A929" t="s">
        <v>1797</v>
      </c>
      <c r="B929" s="1">
        <v>45019</v>
      </c>
      <c r="C929" t="s">
        <v>1648</v>
      </c>
      <c r="D929" t="s">
        <v>358</v>
      </c>
      <c r="E929" t="s">
        <v>83</v>
      </c>
      <c r="F929" t="s">
        <v>32</v>
      </c>
      <c r="G929" t="s">
        <v>33</v>
      </c>
      <c r="H929">
        <v>5</v>
      </c>
      <c r="I929">
        <v>400</v>
      </c>
      <c r="J929">
        <v>20</v>
      </c>
      <c r="K929">
        <v>400</v>
      </c>
      <c r="L929">
        <v>1600</v>
      </c>
      <c r="M929">
        <v>365.42</v>
      </c>
      <c r="N929" t="s">
        <v>34</v>
      </c>
      <c r="O929" t="s">
        <v>35</v>
      </c>
      <c r="P929" t="str">
        <f t="shared" si="28"/>
        <v>Low Value</v>
      </c>
      <c r="Q929" t="str">
        <f t="shared" si="29"/>
        <v>Low</v>
      </c>
      <c r="R929" t="str" cm="1">
        <f t="array" ref="R929">_xlfn.IFS(L929&gt;50000,"Premium",L929&gt;20000,"High",L929&gt;5000,"Medium",TRUE,"Low")</f>
        <v>Low</v>
      </c>
    </row>
    <row r="930" spans="1:18" x14ac:dyDescent="0.3">
      <c r="A930" t="s">
        <v>1798</v>
      </c>
      <c r="B930" s="1">
        <v>45278</v>
      </c>
      <c r="C930" t="s">
        <v>1245</v>
      </c>
      <c r="D930" t="s">
        <v>1799</v>
      </c>
      <c r="E930" t="s">
        <v>59</v>
      </c>
      <c r="F930" t="s">
        <v>74</v>
      </c>
      <c r="G930" t="s">
        <v>192</v>
      </c>
      <c r="H930">
        <v>2</v>
      </c>
      <c r="I930">
        <v>12000</v>
      </c>
      <c r="J930">
        <v>25</v>
      </c>
      <c r="K930">
        <v>6000</v>
      </c>
      <c r="L930">
        <v>18000</v>
      </c>
      <c r="M930">
        <v>1582.39</v>
      </c>
      <c r="N930" t="s">
        <v>34</v>
      </c>
      <c r="O930" t="s">
        <v>35</v>
      </c>
      <c r="P930" t="str">
        <f t="shared" si="28"/>
        <v>Low Value</v>
      </c>
      <c r="Q930" t="str">
        <f t="shared" si="29"/>
        <v>Medium</v>
      </c>
      <c r="R930" t="str" cm="1">
        <f t="array" ref="R930">_xlfn.IFS(L930&gt;50000,"Premium",L930&gt;20000,"High",L930&gt;5000,"Medium",TRUE,"Low")</f>
        <v>Medium</v>
      </c>
    </row>
    <row r="931" spans="1:18" x14ac:dyDescent="0.3">
      <c r="A931" t="s">
        <v>1800</v>
      </c>
      <c r="B931" s="1">
        <v>45274</v>
      </c>
      <c r="C931" t="s">
        <v>723</v>
      </c>
      <c r="D931" t="s">
        <v>1047</v>
      </c>
      <c r="E931" t="s">
        <v>78</v>
      </c>
      <c r="F931" t="s">
        <v>74</v>
      </c>
      <c r="G931" t="s">
        <v>75</v>
      </c>
      <c r="H931">
        <v>4</v>
      </c>
      <c r="I931">
        <v>2200</v>
      </c>
      <c r="J931">
        <v>5</v>
      </c>
      <c r="K931">
        <v>440</v>
      </c>
      <c r="L931">
        <v>8360</v>
      </c>
      <c r="M931">
        <v>1518.91</v>
      </c>
      <c r="N931" t="s">
        <v>34</v>
      </c>
      <c r="O931" t="s">
        <v>22</v>
      </c>
      <c r="P931" t="str">
        <f t="shared" si="28"/>
        <v>Low Value</v>
      </c>
      <c r="Q931" t="str">
        <f t="shared" si="29"/>
        <v>Medium</v>
      </c>
      <c r="R931" t="str" cm="1">
        <f t="array" ref="R931">_xlfn.IFS(L931&gt;50000,"Premium",L931&gt;20000,"High",L931&gt;5000,"Medium",TRUE,"Low")</f>
        <v>Medium</v>
      </c>
    </row>
    <row r="932" spans="1:18" x14ac:dyDescent="0.3">
      <c r="A932" t="s">
        <v>1801</v>
      </c>
      <c r="B932" s="1">
        <v>45193</v>
      </c>
      <c r="C932" t="s">
        <v>698</v>
      </c>
      <c r="D932" t="s">
        <v>496</v>
      </c>
      <c r="E932" t="s">
        <v>48</v>
      </c>
      <c r="F932" t="s">
        <v>60</v>
      </c>
      <c r="G932" t="s">
        <v>349</v>
      </c>
      <c r="H932">
        <v>2</v>
      </c>
      <c r="I932">
        <v>250</v>
      </c>
      <c r="J932">
        <v>10</v>
      </c>
      <c r="K932">
        <v>50</v>
      </c>
      <c r="L932">
        <v>450</v>
      </c>
      <c r="M932">
        <v>108.31</v>
      </c>
      <c r="N932" t="s">
        <v>99</v>
      </c>
      <c r="O932" t="s">
        <v>35</v>
      </c>
      <c r="P932" t="str">
        <f t="shared" si="28"/>
        <v>Low Value</v>
      </c>
      <c r="Q932" t="str">
        <f t="shared" si="29"/>
        <v>Low</v>
      </c>
      <c r="R932" t="str" cm="1">
        <f t="array" ref="R932">_xlfn.IFS(L932&gt;50000,"Premium",L932&gt;20000,"High",L932&gt;5000,"Medium",TRUE,"Low")</f>
        <v>Low</v>
      </c>
    </row>
    <row r="933" spans="1:18" x14ac:dyDescent="0.3">
      <c r="A933" t="s">
        <v>1802</v>
      </c>
      <c r="B933" s="1">
        <v>44966</v>
      </c>
      <c r="C933" t="s">
        <v>1803</v>
      </c>
      <c r="D933" t="s">
        <v>897</v>
      </c>
      <c r="E933" t="s">
        <v>54</v>
      </c>
      <c r="F933" t="s">
        <v>60</v>
      </c>
      <c r="G933" t="s">
        <v>165</v>
      </c>
      <c r="H933">
        <v>1</v>
      </c>
      <c r="I933">
        <v>300</v>
      </c>
      <c r="J933">
        <v>5</v>
      </c>
      <c r="K933">
        <v>15</v>
      </c>
      <c r="L933">
        <v>285</v>
      </c>
      <c r="M933">
        <v>63.44</v>
      </c>
      <c r="N933" t="s">
        <v>99</v>
      </c>
      <c r="O933" t="s">
        <v>22</v>
      </c>
      <c r="P933" t="str">
        <f t="shared" si="28"/>
        <v>Low Value</v>
      </c>
      <c r="Q933" t="str">
        <f t="shared" si="29"/>
        <v>Low</v>
      </c>
      <c r="R933" t="str" cm="1">
        <f t="array" ref="R933">_xlfn.IFS(L933&gt;50000,"Premium",L933&gt;20000,"High",L933&gt;5000,"Medium",TRUE,"Low")</f>
        <v>Low</v>
      </c>
    </row>
    <row r="934" spans="1:18" x14ac:dyDescent="0.3">
      <c r="A934" t="s">
        <v>1804</v>
      </c>
      <c r="B934" s="1">
        <v>45273</v>
      </c>
      <c r="C934" t="s">
        <v>550</v>
      </c>
      <c r="D934" t="s">
        <v>1805</v>
      </c>
      <c r="E934" t="s">
        <v>26</v>
      </c>
      <c r="F934" t="s">
        <v>74</v>
      </c>
      <c r="G934" t="s">
        <v>192</v>
      </c>
      <c r="H934">
        <v>2</v>
      </c>
      <c r="I934">
        <v>12000</v>
      </c>
      <c r="J934">
        <v>15</v>
      </c>
      <c r="K934">
        <v>3600</v>
      </c>
      <c r="L934">
        <v>20400</v>
      </c>
      <c r="M934">
        <v>4066.57</v>
      </c>
      <c r="N934" t="s">
        <v>99</v>
      </c>
      <c r="O934" t="s">
        <v>95</v>
      </c>
      <c r="P934" t="str">
        <f t="shared" si="28"/>
        <v>High Value</v>
      </c>
      <c r="Q934" t="str">
        <f t="shared" si="29"/>
        <v>High</v>
      </c>
      <c r="R934" t="str" cm="1">
        <f t="array" ref="R934">_xlfn.IFS(L934&gt;50000,"Premium",L934&gt;20000,"High",L934&gt;5000,"Medium",TRUE,"Low")</f>
        <v>High</v>
      </c>
    </row>
    <row r="935" spans="1:18" x14ac:dyDescent="0.3">
      <c r="A935" t="s">
        <v>1806</v>
      </c>
      <c r="B935" s="1">
        <v>45024</v>
      </c>
      <c r="C935" t="s">
        <v>52</v>
      </c>
      <c r="D935" t="s">
        <v>615</v>
      </c>
      <c r="E935" t="s">
        <v>59</v>
      </c>
      <c r="F935" t="s">
        <v>49</v>
      </c>
      <c r="G935" t="s">
        <v>458</v>
      </c>
      <c r="H935">
        <v>1</v>
      </c>
      <c r="I935">
        <v>549</v>
      </c>
      <c r="J935">
        <v>25</v>
      </c>
      <c r="K935">
        <v>137.25</v>
      </c>
      <c r="L935">
        <v>411.75</v>
      </c>
      <c r="M935">
        <v>73.08</v>
      </c>
      <c r="N935" t="s">
        <v>21</v>
      </c>
      <c r="O935" t="s">
        <v>22</v>
      </c>
      <c r="P935" t="str">
        <f t="shared" si="28"/>
        <v>Low Value</v>
      </c>
      <c r="Q935" t="str">
        <f t="shared" si="29"/>
        <v>Low</v>
      </c>
      <c r="R935" t="str" cm="1">
        <f t="array" ref="R935">_xlfn.IFS(L935&gt;50000,"Premium",L935&gt;20000,"High",L935&gt;5000,"Medium",TRUE,"Low")</f>
        <v>Low</v>
      </c>
    </row>
    <row r="936" spans="1:18" x14ac:dyDescent="0.3">
      <c r="A936" t="s">
        <v>1807</v>
      </c>
      <c r="B936" s="1">
        <v>45013</v>
      </c>
      <c r="C936" t="s">
        <v>954</v>
      </c>
      <c r="D936" t="s">
        <v>1320</v>
      </c>
      <c r="E936" t="s">
        <v>48</v>
      </c>
      <c r="F936" t="s">
        <v>60</v>
      </c>
      <c r="G936" t="s">
        <v>349</v>
      </c>
      <c r="H936">
        <v>5</v>
      </c>
      <c r="I936">
        <v>250</v>
      </c>
      <c r="J936">
        <v>5</v>
      </c>
      <c r="K936">
        <v>62.5</v>
      </c>
      <c r="L936">
        <v>1187.5</v>
      </c>
      <c r="M936">
        <v>121.65</v>
      </c>
      <c r="N936" t="s">
        <v>99</v>
      </c>
      <c r="O936" t="s">
        <v>22</v>
      </c>
      <c r="P936" t="str">
        <f t="shared" si="28"/>
        <v>Low Value</v>
      </c>
      <c r="Q936" t="str">
        <f t="shared" si="29"/>
        <v>Low</v>
      </c>
      <c r="R936" t="str" cm="1">
        <f t="array" ref="R936">_xlfn.IFS(L936&gt;50000,"Premium",L936&gt;20000,"High",L936&gt;5000,"Medium",TRUE,"Low")</f>
        <v>Low</v>
      </c>
    </row>
    <row r="937" spans="1:18" x14ac:dyDescent="0.3">
      <c r="A937" t="s">
        <v>1808</v>
      </c>
      <c r="B937" s="1">
        <v>45180</v>
      </c>
      <c r="C937" t="s">
        <v>224</v>
      </c>
      <c r="D937" t="s">
        <v>1452</v>
      </c>
      <c r="E937" t="s">
        <v>18</v>
      </c>
      <c r="F937" t="s">
        <v>39</v>
      </c>
      <c r="G937" t="s">
        <v>84</v>
      </c>
      <c r="H937">
        <v>3</v>
      </c>
      <c r="I937">
        <v>6500</v>
      </c>
      <c r="J937">
        <v>0</v>
      </c>
      <c r="K937">
        <v>0</v>
      </c>
      <c r="L937">
        <v>19500</v>
      </c>
      <c r="M937">
        <v>2952.06</v>
      </c>
      <c r="N937" t="s">
        <v>34</v>
      </c>
      <c r="O937" t="s">
        <v>35</v>
      </c>
      <c r="P937" t="str">
        <f t="shared" si="28"/>
        <v>Low Value</v>
      </c>
      <c r="Q937" t="str">
        <f t="shared" si="29"/>
        <v>Medium</v>
      </c>
      <c r="R937" t="str" cm="1">
        <f t="array" ref="R937">_xlfn.IFS(L937&gt;50000,"Premium",L937&gt;20000,"High",L937&gt;5000,"Medium",TRUE,"Low")</f>
        <v>Medium</v>
      </c>
    </row>
    <row r="938" spans="1:18" x14ac:dyDescent="0.3">
      <c r="A938" t="s">
        <v>1809</v>
      </c>
      <c r="B938" s="1">
        <v>45174</v>
      </c>
      <c r="C938" t="s">
        <v>1810</v>
      </c>
      <c r="D938" t="s">
        <v>1719</v>
      </c>
      <c r="E938" t="s">
        <v>78</v>
      </c>
      <c r="F938" t="s">
        <v>32</v>
      </c>
      <c r="G938" t="s">
        <v>309</v>
      </c>
      <c r="H938">
        <v>2</v>
      </c>
      <c r="I938">
        <v>180</v>
      </c>
      <c r="J938">
        <v>0</v>
      </c>
      <c r="K938">
        <v>0</v>
      </c>
      <c r="L938">
        <v>360</v>
      </c>
      <c r="M938">
        <v>97.71</v>
      </c>
      <c r="N938" t="s">
        <v>21</v>
      </c>
      <c r="O938" t="s">
        <v>35</v>
      </c>
      <c r="P938" t="str">
        <f t="shared" si="28"/>
        <v>Low Value</v>
      </c>
      <c r="Q938" t="str">
        <f t="shared" si="29"/>
        <v>Low</v>
      </c>
      <c r="R938" t="str" cm="1">
        <f t="array" ref="R938">_xlfn.IFS(L938&gt;50000,"Premium",L938&gt;20000,"High",L938&gt;5000,"Medium",TRUE,"Low")</f>
        <v>Low</v>
      </c>
    </row>
    <row r="939" spans="1:18" x14ac:dyDescent="0.3">
      <c r="A939" t="s">
        <v>1811</v>
      </c>
      <c r="B939" s="1">
        <v>45164</v>
      </c>
      <c r="C939" t="s">
        <v>571</v>
      </c>
      <c r="D939" t="s">
        <v>1812</v>
      </c>
      <c r="E939" t="s">
        <v>78</v>
      </c>
      <c r="F939" t="s">
        <v>74</v>
      </c>
      <c r="G939" t="s">
        <v>250</v>
      </c>
      <c r="H939">
        <v>4</v>
      </c>
      <c r="I939">
        <v>3500</v>
      </c>
      <c r="J939">
        <v>0</v>
      </c>
      <c r="K939">
        <v>0</v>
      </c>
      <c r="L939">
        <v>14000</v>
      </c>
      <c r="M939">
        <v>2194.13</v>
      </c>
      <c r="N939" t="s">
        <v>34</v>
      </c>
      <c r="O939" t="s">
        <v>35</v>
      </c>
      <c r="P939" t="str">
        <f t="shared" si="28"/>
        <v>Low Value</v>
      </c>
      <c r="Q939" t="str">
        <f t="shared" si="29"/>
        <v>Medium</v>
      </c>
      <c r="R939" t="str" cm="1">
        <f t="array" ref="R939">_xlfn.IFS(L939&gt;50000,"Premium",L939&gt;20000,"High",L939&gt;5000,"Medium",TRUE,"Low")</f>
        <v>Medium</v>
      </c>
    </row>
    <row r="940" spans="1:18" x14ac:dyDescent="0.3">
      <c r="A940" t="s">
        <v>1813</v>
      </c>
      <c r="B940" s="1">
        <v>44929</v>
      </c>
      <c r="C940" t="s">
        <v>896</v>
      </c>
      <c r="D940" t="s">
        <v>305</v>
      </c>
      <c r="E940" t="s">
        <v>31</v>
      </c>
      <c r="F940" t="s">
        <v>32</v>
      </c>
      <c r="G940" t="s">
        <v>55</v>
      </c>
      <c r="H940">
        <v>2</v>
      </c>
      <c r="I940">
        <v>250</v>
      </c>
      <c r="J940">
        <v>15</v>
      </c>
      <c r="K940">
        <v>75</v>
      </c>
      <c r="L940">
        <v>425</v>
      </c>
      <c r="M940">
        <v>66.45</v>
      </c>
      <c r="N940" t="s">
        <v>99</v>
      </c>
      <c r="O940" t="s">
        <v>95</v>
      </c>
      <c r="P940" t="str">
        <f t="shared" si="28"/>
        <v>Low Value</v>
      </c>
      <c r="Q940" t="str">
        <f t="shared" si="29"/>
        <v>Low</v>
      </c>
      <c r="R940" t="str" cm="1">
        <f t="array" ref="R940">_xlfn.IFS(L940&gt;50000,"Premium",L940&gt;20000,"High",L940&gt;5000,"Medium",TRUE,"Low")</f>
        <v>Low</v>
      </c>
    </row>
    <row r="941" spans="1:18" x14ac:dyDescent="0.3">
      <c r="A941" t="s">
        <v>1814</v>
      </c>
      <c r="B941" s="1">
        <v>45190</v>
      </c>
      <c r="C941" t="s">
        <v>57</v>
      </c>
      <c r="D941" t="s">
        <v>882</v>
      </c>
      <c r="E941" t="s">
        <v>54</v>
      </c>
      <c r="F941" t="s">
        <v>69</v>
      </c>
      <c r="G941" t="s">
        <v>119</v>
      </c>
      <c r="H941">
        <v>1</v>
      </c>
      <c r="I941">
        <v>2500</v>
      </c>
      <c r="J941">
        <v>15</v>
      </c>
      <c r="K941">
        <v>375</v>
      </c>
      <c r="L941">
        <v>2125</v>
      </c>
      <c r="M941">
        <v>110.66</v>
      </c>
      <c r="N941" t="s">
        <v>41</v>
      </c>
      <c r="O941" t="s">
        <v>35</v>
      </c>
      <c r="P941" t="str">
        <f t="shared" si="28"/>
        <v>Low Value</v>
      </c>
      <c r="Q941" t="str">
        <f t="shared" si="29"/>
        <v>Low</v>
      </c>
      <c r="R941" t="str" cm="1">
        <f t="array" ref="R941">_xlfn.IFS(L941&gt;50000,"Premium",L941&gt;20000,"High",L941&gt;5000,"Medium",TRUE,"Low")</f>
        <v>Low</v>
      </c>
    </row>
    <row r="942" spans="1:18" x14ac:dyDescent="0.3">
      <c r="A942" t="s">
        <v>1815</v>
      </c>
      <c r="B942" s="1">
        <v>45080</v>
      </c>
      <c r="C942" t="s">
        <v>1816</v>
      </c>
      <c r="D942" t="s">
        <v>384</v>
      </c>
      <c r="E942" t="s">
        <v>83</v>
      </c>
      <c r="F942" t="s">
        <v>32</v>
      </c>
      <c r="G942" t="s">
        <v>259</v>
      </c>
      <c r="H942">
        <v>2</v>
      </c>
      <c r="I942">
        <v>450</v>
      </c>
      <c r="J942">
        <v>20</v>
      </c>
      <c r="K942">
        <v>180</v>
      </c>
      <c r="L942">
        <v>720</v>
      </c>
      <c r="M942">
        <v>211.29</v>
      </c>
      <c r="N942" t="s">
        <v>27</v>
      </c>
      <c r="O942" t="s">
        <v>35</v>
      </c>
      <c r="P942" t="str">
        <f t="shared" si="28"/>
        <v>Low Value</v>
      </c>
      <c r="Q942" t="str">
        <f t="shared" si="29"/>
        <v>Low</v>
      </c>
      <c r="R942" t="str" cm="1">
        <f t="array" ref="R942">_xlfn.IFS(L942&gt;50000,"Premium",L942&gt;20000,"High",L942&gt;5000,"Medium",TRUE,"Low")</f>
        <v>Low</v>
      </c>
    </row>
    <row r="943" spans="1:18" x14ac:dyDescent="0.3">
      <c r="A943" t="s">
        <v>1817</v>
      </c>
      <c r="B943" s="1">
        <v>45149</v>
      </c>
      <c r="C943" t="s">
        <v>1696</v>
      </c>
      <c r="D943" t="s">
        <v>1029</v>
      </c>
      <c r="E943" t="s">
        <v>26</v>
      </c>
      <c r="F943" t="s">
        <v>19</v>
      </c>
      <c r="G943" t="s">
        <v>103</v>
      </c>
      <c r="H943">
        <v>2</v>
      </c>
      <c r="I943">
        <v>3500</v>
      </c>
      <c r="J943">
        <v>0</v>
      </c>
      <c r="K943">
        <v>0</v>
      </c>
      <c r="L943">
        <v>7000</v>
      </c>
      <c r="M943">
        <v>748.09</v>
      </c>
      <c r="N943" t="s">
        <v>34</v>
      </c>
      <c r="O943" t="s">
        <v>35</v>
      </c>
      <c r="P943" t="str">
        <f t="shared" si="28"/>
        <v>Low Value</v>
      </c>
      <c r="Q943" t="str">
        <f t="shared" si="29"/>
        <v>Medium</v>
      </c>
      <c r="R943" t="str" cm="1">
        <f t="array" ref="R943">_xlfn.IFS(L943&gt;50000,"Premium",L943&gt;20000,"High",L943&gt;5000,"Medium",TRUE,"Low")</f>
        <v>Medium</v>
      </c>
    </row>
    <row r="944" spans="1:18" x14ac:dyDescent="0.3">
      <c r="A944" t="s">
        <v>1818</v>
      </c>
      <c r="B944" s="1">
        <v>45009</v>
      </c>
      <c r="C944" t="s">
        <v>657</v>
      </c>
      <c r="D944" t="s">
        <v>305</v>
      </c>
      <c r="E944" t="s">
        <v>54</v>
      </c>
      <c r="F944" t="s">
        <v>60</v>
      </c>
      <c r="G944" t="s">
        <v>165</v>
      </c>
      <c r="H944">
        <v>4</v>
      </c>
      <c r="I944">
        <v>300</v>
      </c>
      <c r="J944">
        <v>25</v>
      </c>
      <c r="K944">
        <v>300</v>
      </c>
      <c r="L944">
        <v>900</v>
      </c>
      <c r="M944">
        <v>310.39</v>
      </c>
      <c r="N944" t="s">
        <v>27</v>
      </c>
      <c r="O944" t="s">
        <v>35</v>
      </c>
      <c r="P944" t="str">
        <f t="shared" si="28"/>
        <v>Low Value</v>
      </c>
      <c r="Q944" t="str">
        <f t="shared" si="29"/>
        <v>Low</v>
      </c>
      <c r="R944" t="str" cm="1">
        <f t="array" ref="R944">_xlfn.IFS(L944&gt;50000,"Premium",L944&gt;20000,"High",L944&gt;5000,"Medium",TRUE,"Low")</f>
        <v>Low</v>
      </c>
    </row>
    <row r="945" spans="1:18" x14ac:dyDescent="0.3">
      <c r="A945" t="s">
        <v>1819</v>
      </c>
      <c r="B945" s="1">
        <v>45131</v>
      </c>
      <c r="C945" t="s">
        <v>1816</v>
      </c>
      <c r="D945" t="s">
        <v>1596</v>
      </c>
      <c r="E945" t="s">
        <v>83</v>
      </c>
      <c r="F945" t="s">
        <v>74</v>
      </c>
      <c r="G945" t="s">
        <v>192</v>
      </c>
      <c r="H945">
        <v>4</v>
      </c>
      <c r="I945">
        <v>12000</v>
      </c>
      <c r="J945">
        <v>5</v>
      </c>
      <c r="K945">
        <v>2400</v>
      </c>
      <c r="L945">
        <v>45600</v>
      </c>
      <c r="M945">
        <v>3781.14</v>
      </c>
      <c r="N945" t="s">
        <v>34</v>
      </c>
      <c r="O945" t="s">
        <v>95</v>
      </c>
      <c r="P945" t="str">
        <f t="shared" si="28"/>
        <v>High Value</v>
      </c>
      <c r="Q945" t="str">
        <f t="shared" si="29"/>
        <v>High</v>
      </c>
      <c r="R945" t="str" cm="1">
        <f t="array" ref="R945">_xlfn.IFS(L945&gt;50000,"Premium",L945&gt;20000,"High",L945&gt;5000,"Medium",TRUE,"Low")</f>
        <v>High</v>
      </c>
    </row>
    <row r="946" spans="1:18" x14ac:dyDescent="0.3">
      <c r="A946" t="s">
        <v>1820</v>
      </c>
      <c r="B946" s="1">
        <v>44933</v>
      </c>
      <c r="C946" t="s">
        <v>1134</v>
      </c>
      <c r="D946" t="s">
        <v>164</v>
      </c>
      <c r="E946" t="s">
        <v>59</v>
      </c>
      <c r="F946" t="s">
        <v>49</v>
      </c>
      <c r="G946" t="s">
        <v>458</v>
      </c>
      <c r="H946">
        <v>2</v>
      </c>
      <c r="I946">
        <v>549</v>
      </c>
      <c r="J946">
        <v>0</v>
      </c>
      <c r="K946">
        <v>0</v>
      </c>
      <c r="L946">
        <v>1098</v>
      </c>
      <c r="M946">
        <v>278.33999999999997</v>
      </c>
      <c r="N946" t="s">
        <v>41</v>
      </c>
      <c r="O946" t="s">
        <v>22</v>
      </c>
      <c r="P946" t="str">
        <f t="shared" si="28"/>
        <v>Low Value</v>
      </c>
      <c r="Q946" t="str">
        <f t="shared" si="29"/>
        <v>Low</v>
      </c>
      <c r="R946" t="str" cm="1">
        <f t="array" ref="R946">_xlfn.IFS(L946&gt;50000,"Premium",L946&gt;20000,"High",L946&gt;5000,"Medium",TRUE,"Low")</f>
        <v>Low</v>
      </c>
    </row>
    <row r="947" spans="1:18" x14ac:dyDescent="0.3">
      <c r="A947" t="s">
        <v>1821</v>
      </c>
      <c r="B947" s="1">
        <v>45075</v>
      </c>
      <c r="C947" t="s">
        <v>72</v>
      </c>
      <c r="D947" t="s">
        <v>995</v>
      </c>
      <c r="E947" t="s">
        <v>31</v>
      </c>
      <c r="F947" t="s">
        <v>32</v>
      </c>
      <c r="G947" t="s">
        <v>259</v>
      </c>
      <c r="H947">
        <v>1</v>
      </c>
      <c r="I947">
        <v>450</v>
      </c>
      <c r="J947">
        <v>15</v>
      </c>
      <c r="K947">
        <v>67.5</v>
      </c>
      <c r="L947">
        <v>382.5</v>
      </c>
      <c r="M947">
        <v>47.55</v>
      </c>
      <c r="N947" t="s">
        <v>34</v>
      </c>
      <c r="O947" t="s">
        <v>35</v>
      </c>
      <c r="P947" t="str">
        <f t="shared" si="28"/>
        <v>Low Value</v>
      </c>
      <c r="Q947" t="str">
        <f t="shared" si="29"/>
        <v>Low</v>
      </c>
      <c r="R947" t="str" cm="1">
        <f t="array" ref="R947">_xlfn.IFS(L947&gt;50000,"Premium",L947&gt;20000,"High",L947&gt;5000,"Medium",TRUE,"Low")</f>
        <v>Low</v>
      </c>
    </row>
    <row r="948" spans="1:18" x14ac:dyDescent="0.3">
      <c r="A948" t="s">
        <v>1822</v>
      </c>
      <c r="B948" s="1">
        <v>45061</v>
      </c>
      <c r="C948" t="s">
        <v>167</v>
      </c>
      <c r="D948" t="s">
        <v>855</v>
      </c>
      <c r="E948" t="s">
        <v>83</v>
      </c>
      <c r="F948" t="s">
        <v>60</v>
      </c>
      <c r="G948" t="s">
        <v>165</v>
      </c>
      <c r="H948">
        <v>4</v>
      </c>
      <c r="I948">
        <v>300</v>
      </c>
      <c r="J948">
        <v>5</v>
      </c>
      <c r="K948">
        <v>60</v>
      </c>
      <c r="L948">
        <v>1140</v>
      </c>
      <c r="M948">
        <v>219.07</v>
      </c>
      <c r="N948" t="s">
        <v>27</v>
      </c>
      <c r="O948" t="s">
        <v>95</v>
      </c>
      <c r="P948" t="str">
        <f t="shared" si="28"/>
        <v>Low Value</v>
      </c>
      <c r="Q948" t="str">
        <f t="shared" si="29"/>
        <v>Low</v>
      </c>
      <c r="R948" t="str" cm="1">
        <f t="array" ref="R948">_xlfn.IFS(L948&gt;50000,"Premium",L948&gt;20000,"High",L948&gt;5000,"Medium",TRUE,"Low")</f>
        <v>Low</v>
      </c>
    </row>
    <row r="949" spans="1:18" x14ac:dyDescent="0.3">
      <c r="A949" t="s">
        <v>1823</v>
      </c>
      <c r="B949" s="1">
        <v>45249</v>
      </c>
      <c r="C949" t="s">
        <v>1824</v>
      </c>
      <c r="D949" t="s">
        <v>1418</v>
      </c>
      <c r="E949" t="s">
        <v>83</v>
      </c>
      <c r="F949" t="s">
        <v>60</v>
      </c>
      <c r="G949" t="s">
        <v>165</v>
      </c>
      <c r="H949">
        <v>2</v>
      </c>
      <c r="I949">
        <v>300</v>
      </c>
      <c r="J949">
        <v>0</v>
      </c>
      <c r="K949">
        <v>0</v>
      </c>
      <c r="L949">
        <v>600</v>
      </c>
      <c r="M949">
        <v>53.81</v>
      </c>
      <c r="N949" t="s">
        <v>41</v>
      </c>
      <c r="O949" t="s">
        <v>35</v>
      </c>
      <c r="P949" t="str">
        <f t="shared" si="28"/>
        <v>Low Value</v>
      </c>
      <c r="Q949" t="str">
        <f t="shared" si="29"/>
        <v>Low</v>
      </c>
      <c r="R949" t="str" cm="1">
        <f t="array" ref="R949">_xlfn.IFS(L949&gt;50000,"Premium",L949&gt;20000,"High",L949&gt;5000,"Medium",TRUE,"Low")</f>
        <v>Low</v>
      </c>
    </row>
    <row r="950" spans="1:18" x14ac:dyDescent="0.3">
      <c r="A950" t="s">
        <v>1825</v>
      </c>
      <c r="B950" s="1">
        <v>45242</v>
      </c>
      <c r="C950" t="s">
        <v>782</v>
      </c>
      <c r="D950" t="s">
        <v>637</v>
      </c>
      <c r="E950" t="s">
        <v>48</v>
      </c>
      <c r="F950" t="s">
        <v>69</v>
      </c>
      <c r="G950" t="s">
        <v>505</v>
      </c>
      <c r="H950">
        <v>1</v>
      </c>
      <c r="I950">
        <v>499</v>
      </c>
      <c r="J950">
        <v>15</v>
      </c>
      <c r="K950">
        <v>74.849999999999994</v>
      </c>
      <c r="L950">
        <v>424.15</v>
      </c>
      <c r="M950">
        <v>73.03</v>
      </c>
      <c r="N950" t="s">
        <v>41</v>
      </c>
      <c r="O950" t="s">
        <v>22</v>
      </c>
      <c r="P950" t="str">
        <f t="shared" si="28"/>
        <v>Low Value</v>
      </c>
      <c r="Q950" t="str">
        <f t="shared" si="29"/>
        <v>Low</v>
      </c>
      <c r="R950" t="str" cm="1">
        <f t="array" ref="R950">_xlfn.IFS(L950&gt;50000,"Premium",L950&gt;20000,"High",L950&gt;5000,"Medium",TRUE,"Low")</f>
        <v>Low</v>
      </c>
    </row>
    <row r="951" spans="1:18" x14ac:dyDescent="0.3">
      <c r="A951" t="s">
        <v>1826</v>
      </c>
      <c r="B951" s="1">
        <v>44958</v>
      </c>
      <c r="C951" t="s">
        <v>367</v>
      </c>
      <c r="D951" t="s">
        <v>174</v>
      </c>
      <c r="E951" t="s">
        <v>26</v>
      </c>
      <c r="F951" t="s">
        <v>74</v>
      </c>
      <c r="G951" t="s">
        <v>75</v>
      </c>
      <c r="H951">
        <v>1</v>
      </c>
      <c r="I951">
        <v>2200</v>
      </c>
      <c r="J951">
        <v>10</v>
      </c>
      <c r="K951">
        <v>220</v>
      </c>
      <c r="L951">
        <v>1980</v>
      </c>
      <c r="M951">
        <v>164.37</v>
      </c>
      <c r="N951" t="s">
        <v>27</v>
      </c>
      <c r="O951" t="s">
        <v>35</v>
      </c>
      <c r="P951" t="str">
        <f t="shared" si="28"/>
        <v>Low Value</v>
      </c>
      <c r="Q951" t="str">
        <f t="shared" si="29"/>
        <v>Low</v>
      </c>
      <c r="R951" t="str" cm="1">
        <f t="array" ref="R951">_xlfn.IFS(L951&gt;50000,"Premium",L951&gt;20000,"High",L951&gt;5000,"Medium",TRUE,"Low")</f>
        <v>Low</v>
      </c>
    </row>
    <row r="952" spans="1:18" x14ac:dyDescent="0.3">
      <c r="A952" t="s">
        <v>1827</v>
      </c>
      <c r="B952" s="1">
        <v>44951</v>
      </c>
      <c r="C952" t="s">
        <v>1177</v>
      </c>
      <c r="D952" t="s">
        <v>510</v>
      </c>
      <c r="E952" t="s">
        <v>54</v>
      </c>
      <c r="F952" t="s">
        <v>69</v>
      </c>
      <c r="G952" t="s">
        <v>505</v>
      </c>
      <c r="H952">
        <v>1</v>
      </c>
      <c r="I952">
        <v>499</v>
      </c>
      <c r="J952">
        <v>0</v>
      </c>
      <c r="K952">
        <v>0</v>
      </c>
      <c r="L952">
        <v>499</v>
      </c>
      <c r="M952">
        <v>123.82</v>
      </c>
      <c r="N952" t="s">
        <v>34</v>
      </c>
      <c r="O952" t="s">
        <v>95</v>
      </c>
      <c r="P952" t="str">
        <f t="shared" si="28"/>
        <v>Low Value</v>
      </c>
      <c r="Q952" t="str">
        <f t="shared" si="29"/>
        <v>Low</v>
      </c>
      <c r="R952" t="str" cm="1">
        <f t="array" ref="R952">_xlfn.IFS(L952&gt;50000,"Premium",L952&gt;20000,"High",L952&gt;5000,"Medium",TRUE,"Low")</f>
        <v>Low</v>
      </c>
    </row>
    <row r="953" spans="1:18" x14ac:dyDescent="0.3">
      <c r="A953" t="s">
        <v>1828</v>
      </c>
      <c r="B953" s="1">
        <v>44978</v>
      </c>
      <c r="C953" t="s">
        <v>1403</v>
      </c>
      <c r="D953" t="s">
        <v>787</v>
      </c>
      <c r="E953" t="s">
        <v>59</v>
      </c>
      <c r="F953" t="s">
        <v>39</v>
      </c>
      <c r="G953" t="s">
        <v>84</v>
      </c>
      <c r="H953">
        <v>3</v>
      </c>
      <c r="I953">
        <v>6500</v>
      </c>
      <c r="J953">
        <v>15</v>
      </c>
      <c r="K953">
        <v>2925</v>
      </c>
      <c r="L953">
        <v>16575</v>
      </c>
      <c r="M953">
        <v>2636.66</v>
      </c>
      <c r="N953" t="s">
        <v>21</v>
      </c>
      <c r="O953" t="s">
        <v>35</v>
      </c>
      <c r="P953" t="str">
        <f t="shared" si="28"/>
        <v>Low Value</v>
      </c>
      <c r="Q953" t="str">
        <f t="shared" si="29"/>
        <v>Medium</v>
      </c>
      <c r="R953" t="str" cm="1">
        <f t="array" ref="R953">_xlfn.IFS(L953&gt;50000,"Premium",L953&gt;20000,"High",L953&gt;5000,"Medium",TRUE,"Low")</f>
        <v>Medium</v>
      </c>
    </row>
    <row r="954" spans="1:18" x14ac:dyDescent="0.3">
      <c r="A954" t="s">
        <v>1829</v>
      </c>
      <c r="B954" s="1">
        <v>45096</v>
      </c>
      <c r="C954" t="s">
        <v>621</v>
      </c>
      <c r="D954" t="s">
        <v>1830</v>
      </c>
      <c r="E954" t="s">
        <v>31</v>
      </c>
      <c r="F954" t="s">
        <v>32</v>
      </c>
      <c r="G954" t="s">
        <v>55</v>
      </c>
      <c r="H954">
        <v>3</v>
      </c>
      <c r="I954">
        <v>250</v>
      </c>
      <c r="J954">
        <v>25</v>
      </c>
      <c r="K954">
        <v>187.5</v>
      </c>
      <c r="L954">
        <v>562.5</v>
      </c>
      <c r="M954">
        <v>159.55000000000001</v>
      </c>
      <c r="N954" t="s">
        <v>34</v>
      </c>
      <c r="O954" t="s">
        <v>35</v>
      </c>
      <c r="P954" t="str">
        <f t="shared" si="28"/>
        <v>Low Value</v>
      </c>
      <c r="Q954" t="str">
        <f t="shared" si="29"/>
        <v>Low</v>
      </c>
      <c r="R954" t="str" cm="1">
        <f t="array" ref="R954">_xlfn.IFS(L954&gt;50000,"Premium",L954&gt;20000,"High",L954&gt;5000,"Medium",TRUE,"Low")</f>
        <v>Low</v>
      </c>
    </row>
    <row r="955" spans="1:18" x14ac:dyDescent="0.3">
      <c r="A955" t="s">
        <v>1831</v>
      </c>
      <c r="B955" s="1">
        <v>45226</v>
      </c>
      <c r="C955" t="s">
        <v>1064</v>
      </c>
      <c r="D955" t="s">
        <v>1796</v>
      </c>
      <c r="E955" t="s">
        <v>31</v>
      </c>
      <c r="F955" t="s">
        <v>39</v>
      </c>
      <c r="G955" t="s">
        <v>40</v>
      </c>
      <c r="H955">
        <v>1</v>
      </c>
      <c r="I955">
        <v>8500</v>
      </c>
      <c r="J955">
        <v>5</v>
      </c>
      <c r="K955">
        <v>425</v>
      </c>
      <c r="L955">
        <v>8075</v>
      </c>
      <c r="M955">
        <v>1928.86</v>
      </c>
      <c r="N955" t="s">
        <v>27</v>
      </c>
      <c r="O955" t="s">
        <v>22</v>
      </c>
      <c r="P955" t="str">
        <f t="shared" si="28"/>
        <v>Low Value</v>
      </c>
      <c r="Q955" t="str">
        <f t="shared" si="29"/>
        <v>Medium</v>
      </c>
      <c r="R955" t="str" cm="1">
        <f t="array" ref="R955">_xlfn.IFS(L955&gt;50000,"Premium",L955&gt;20000,"High",L955&gt;5000,"Medium",TRUE,"Low")</f>
        <v>Medium</v>
      </c>
    </row>
    <row r="956" spans="1:18" x14ac:dyDescent="0.3">
      <c r="A956" t="s">
        <v>1832</v>
      </c>
      <c r="B956" s="1">
        <v>44977</v>
      </c>
      <c r="C956" t="s">
        <v>238</v>
      </c>
      <c r="D956" t="s">
        <v>1833</v>
      </c>
      <c r="E956" t="s">
        <v>83</v>
      </c>
      <c r="F956" t="s">
        <v>19</v>
      </c>
      <c r="G956" t="s">
        <v>130</v>
      </c>
      <c r="H956">
        <v>5</v>
      </c>
      <c r="I956">
        <v>22000</v>
      </c>
      <c r="J956">
        <v>10</v>
      </c>
      <c r="K956">
        <v>11000</v>
      </c>
      <c r="L956">
        <v>99000</v>
      </c>
      <c r="M956">
        <v>13903.85</v>
      </c>
      <c r="N956" t="s">
        <v>99</v>
      </c>
      <c r="O956" t="s">
        <v>35</v>
      </c>
      <c r="P956" t="str">
        <f t="shared" si="28"/>
        <v>High Value</v>
      </c>
      <c r="Q956" t="str">
        <f t="shared" si="29"/>
        <v>Premium</v>
      </c>
      <c r="R956" t="str" cm="1">
        <f t="array" ref="R956">_xlfn.IFS(L956&gt;50000,"Premium",L956&gt;20000,"High",L956&gt;5000,"Medium",TRUE,"Low")</f>
        <v>Premium</v>
      </c>
    </row>
    <row r="957" spans="1:18" x14ac:dyDescent="0.3">
      <c r="A957" t="s">
        <v>1834</v>
      </c>
      <c r="B957" s="1">
        <v>45025</v>
      </c>
      <c r="C957" t="s">
        <v>1353</v>
      </c>
      <c r="D957" t="s">
        <v>98</v>
      </c>
      <c r="E957" t="s">
        <v>18</v>
      </c>
      <c r="F957" t="s">
        <v>39</v>
      </c>
      <c r="G957" t="s">
        <v>79</v>
      </c>
      <c r="H957">
        <v>3</v>
      </c>
      <c r="I957">
        <v>25000</v>
      </c>
      <c r="J957">
        <v>20</v>
      </c>
      <c r="K957">
        <v>15000</v>
      </c>
      <c r="L957">
        <v>60000</v>
      </c>
      <c r="M957">
        <v>20552.27</v>
      </c>
      <c r="N957" t="s">
        <v>41</v>
      </c>
      <c r="O957" t="s">
        <v>35</v>
      </c>
      <c r="P957" t="str">
        <f t="shared" si="28"/>
        <v>High Value</v>
      </c>
      <c r="Q957" t="str">
        <f t="shared" si="29"/>
        <v>Premium</v>
      </c>
      <c r="R957" t="str" cm="1">
        <f t="array" ref="R957">_xlfn.IFS(L957&gt;50000,"Premium",L957&gt;20000,"High",L957&gt;5000,"Medium",TRUE,"Low")</f>
        <v>Premium</v>
      </c>
    </row>
    <row r="958" spans="1:18" x14ac:dyDescent="0.3">
      <c r="A958" t="s">
        <v>1835</v>
      </c>
      <c r="B958" s="1">
        <v>45174</v>
      </c>
      <c r="C958" t="s">
        <v>518</v>
      </c>
      <c r="D958" t="s">
        <v>1460</v>
      </c>
      <c r="E958" t="s">
        <v>59</v>
      </c>
      <c r="F958" t="s">
        <v>39</v>
      </c>
      <c r="G958" t="s">
        <v>79</v>
      </c>
      <c r="H958">
        <v>5</v>
      </c>
      <c r="I958">
        <v>25000</v>
      </c>
      <c r="J958">
        <v>0</v>
      </c>
      <c r="K958">
        <v>0</v>
      </c>
      <c r="L958">
        <v>125000</v>
      </c>
      <c r="M958">
        <v>12510.07</v>
      </c>
      <c r="N958" t="s">
        <v>21</v>
      </c>
      <c r="O958" t="s">
        <v>35</v>
      </c>
      <c r="P958" t="str">
        <f t="shared" si="28"/>
        <v>High Value</v>
      </c>
      <c r="Q958" t="str">
        <f t="shared" si="29"/>
        <v>Premium</v>
      </c>
      <c r="R958" t="str" cm="1">
        <f t="array" ref="R958">_xlfn.IFS(L958&gt;50000,"Premium",L958&gt;20000,"High",L958&gt;5000,"Medium",TRUE,"Low")</f>
        <v>Premium</v>
      </c>
    </row>
    <row r="959" spans="1:18" x14ac:dyDescent="0.3">
      <c r="A959" t="s">
        <v>1836</v>
      </c>
      <c r="B959" s="1">
        <v>45282</v>
      </c>
      <c r="C959" t="s">
        <v>333</v>
      </c>
      <c r="D959" t="s">
        <v>453</v>
      </c>
      <c r="E959" t="s">
        <v>83</v>
      </c>
      <c r="F959" t="s">
        <v>69</v>
      </c>
      <c r="G959" t="s">
        <v>70</v>
      </c>
      <c r="H959">
        <v>4</v>
      </c>
      <c r="I959">
        <v>2499</v>
      </c>
      <c r="J959">
        <v>15</v>
      </c>
      <c r="K959">
        <v>1499.4</v>
      </c>
      <c r="L959">
        <v>8496.6</v>
      </c>
      <c r="M959">
        <v>2170.1</v>
      </c>
      <c r="N959" t="s">
        <v>41</v>
      </c>
      <c r="O959" t="s">
        <v>95</v>
      </c>
      <c r="P959" t="str">
        <f t="shared" si="28"/>
        <v>Low Value</v>
      </c>
      <c r="Q959" t="str">
        <f t="shared" si="29"/>
        <v>Medium</v>
      </c>
      <c r="R959" t="str" cm="1">
        <f t="array" ref="R959">_xlfn.IFS(L959&gt;50000,"Premium",L959&gt;20000,"High",L959&gt;5000,"Medium",TRUE,"Low")</f>
        <v>Medium</v>
      </c>
    </row>
    <row r="960" spans="1:18" x14ac:dyDescent="0.3">
      <c r="A960" t="s">
        <v>1837</v>
      </c>
      <c r="B960" s="1">
        <v>45123</v>
      </c>
      <c r="C960" t="s">
        <v>1222</v>
      </c>
      <c r="D960" t="s">
        <v>290</v>
      </c>
      <c r="E960" t="s">
        <v>83</v>
      </c>
      <c r="F960" t="s">
        <v>74</v>
      </c>
      <c r="G960" t="s">
        <v>250</v>
      </c>
      <c r="H960">
        <v>4</v>
      </c>
      <c r="I960">
        <v>3500</v>
      </c>
      <c r="J960">
        <v>15</v>
      </c>
      <c r="K960">
        <v>2100</v>
      </c>
      <c r="L960">
        <v>11900</v>
      </c>
      <c r="M960">
        <v>2762.77</v>
      </c>
      <c r="N960" t="s">
        <v>21</v>
      </c>
      <c r="O960" t="s">
        <v>35</v>
      </c>
      <c r="P960" t="str">
        <f t="shared" si="28"/>
        <v>Low Value</v>
      </c>
      <c r="Q960" t="str">
        <f t="shared" si="29"/>
        <v>Medium</v>
      </c>
      <c r="R960" t="str" cm="1">
        <f t="array" ref="R960">_xlfn.IFS(L960&gt;50000,"Premium",L960&gt;20000,"High",L960&gt;5000,"Medium",TRUE,"Low")</f>
        <v>Medium</v>
      </c>
    </row>
    <row r="961" spans="1:18" x14ac:dyDescent="0.3">
      <c r="A961" t="s">
        <v>1838</v>
      </c>
      <c r="B961" s="1">
        <v>45230</v>
      </c>
      <c r="C961" t="s">
        <v>817</v>
      </c>
      <c r="D961" t="s">
        <v>678</v>
      </c>
      <c r="E961" t="s">
        <v>78</v>
      </c>
      <c r="F961" t="s">
        <v>60</v>
      </c>
      <c r="G961" t="s">
        <v>291</v>
      </c>
      <c r="H961">
        <v>5</v>
      </c>
      <c r="I961">
        <v>450</v>
      </c>
      <c r="J961">
        <v>15</v>
      </c>
      <c r="K961">
        <v>337.5</v>
      </c>
      <c r="L961">
        <v>1912.5</v>
      </c>
      <c r="M961">
        <v>384.69</v>
      </c>
      <c r="N961" t="s">
        <v>27</v>
      </c>
      <c r="O961" t="s">
        <v>35</v>
      </c>
      <c r="P961" t="str">
        <f t="shared" si="28"/>
        <v>Low Value</v>
      </c>
      <c r="Q961" t="str">
        <f t="shared" si="29"/>
        <v>Low</v>
      </c>
      <c r="R961" t="str" cm="1">
        <f t="array" ref="R961">_xlfn.IFS(L961&gt;50000,"Premium",L961&gt;20000,"High",L961&gt;5000,"Medium",TRUE,"Low")</f>
        <v>Low</v>
      </c>
    </row>
    <row r="962" spans="1:18" x14ac:dyDescent="0.3">
      <c r="A962" t="s">
        <v>1839</v>
      </c>
      <c r="B962" s="1">
        <v>45289</v>
      </c>
      <c r="C962" t="s">
        <v>52</v>
      </c>
      <c r="D962" t="s">
        <v>195</v>
      </c>
      <c r="E962" t="s">
        <v>59</v>
      </c>
      <c r="F962" t="s">
        <v>32</v>
      </c>
      <c r="G962" t="s">
        <v>361</v>
      </c>
      <c r="H962">
        <v>1</v>
      </c>
      <c r="I962">
        <v>90</v>
      </c>
      <c r="J962">
        <v>5</v>
      </c>
      <c r="K962">
        <v>4.5</v>
      </c>
      <c r="L962">
        <v>85.5</v>
      </c>
      <c r="M962">
        <v>10.02</v>
      </c>
      <c r="N962" t="s">
        <v>27</v>
      </c>
      <c r="O962" t="s">
        <v>35</v>
      </c>
      <c r="P962" t="str">
        <f t="shared" si="28"/>
        <v>Low Value</v>
      </c>
      <c r="Q962" t="str">
        <f t="shared" si="29"/>
        <v>Low</v>
      </c>
      <c r="R962" t="str" cm="1">
        <f t="array" ref="R962">_xlfn.IFS(L962&gt;50000,"Premium",L962&gt;20000,"High",L962&gt;5000,"Medium",TRUE,"Low")</f>
        <v>Low</v>
      </c>
    </row>
    <row r="963" spans="1:18" x14ac:dyDescent="0.3">
      <c r="A963" t="s">
        <v>1840</v>
      </c>
      <c r="B963" s="1">
        <v>44995</v>
      </c>
      <c r="C963" t="s">
        <v>636</v>
      </c>
      <c r="D963" t="s">
        <v>1833</v>
      </c>
      <c r="E963" t="s">
        <v>18</v>
      </c>
      <c r="F963" t="s">
        <v>32</v>
      </c>
      <c r="G963" t="s">
        <v>33</v>
      </c>
      <c r="H963">
        <v>1</v>
      </c>
      <c r="I963">
        <v>400</v>
      </c>
      <c r="J963">
        <v>25</v>
      </c>
      <c r="K963">
        <v>100</v>
      </c>
      <c r="L963">
        <v>300</v>
      </c>
      <c r="M963">
        <v>103.2</v>
      </c>
      <c r="N963" t="s">
        <v>99</v>
      </c>
      <c r="O963" t="s">
        <v>35</v>
      </c>
      <c r="P963" t="str">
        <f t="shared" ref="P963:P1001" si="30">IF(L963&gt;20000,"High Value","Low Value")</f>
        <v>Low Value</v>
      </c>
      <c r="Q963" t="str">
        <f t="shared" ref="Q963:Q1001" si="31">IF(L963&gt;50000,"Premium",IF(L963&gt;20000,"High",IF(L963&gt;5000,"Medium","Low")))</f>
        <v>Low</v>
      </c>
      <c r="R963" t="str" cm="1">
        <f t="array" ref="R963">_xlfn.IFS(L963&gt;50000,"Premium",L963&gt;20000,"High",L963&gt;5000,"Medium",TRUE,"Low")</f>
        <v>Low</v>
      </c>
    </row>
    <row r="964" spans="1:18" x14ac:dyDescent="0.3">
      <c r="A964" t="s">
        <v>1841</v>
      </c>
      <c r="B964" s="1">
        <v>45250</v>
      </c>
      <c r="C964" t="s">
        <v>163</v>
      </c>
      <c r="D964" t="s">
        <v>874</v>
      </c>
      <c r="E964" t="s">
        <v>83</v>
      </c>
      <c r="F964" t="s">
        <v>74</v>
      </c>
      <c r="G964" t="s">
        <v>341</v>
      </c>
      <c r="H964">
        <v>3</v>
      </c>
      <c r="I964">
        <v>700</v>
      </c>
      <c r="J964">
        <v>0</v>
      </c>
      <c r="K964">
        <v>0</v>
      </c>
      <c r="L964">
        <v>2100</v>
      </c>
      <c r="M964">
        <v>701.25</v>
      </c>
      <c r="N964" t="s">
        <v>41</v>
      </c>
      <c r="O964" t="s">
        <v>95</v>
      </c>
      <c r="P964" t="str">
        <f t="shared" si="30"/>
        <v>Low Value</v>
      </c>
      <c r="Q964" t="str">
        <f t="shared" si="31"/>
        <v>Low</v>
      </c>
      <c r="R964" t="str" cm="1">
        <f t="array" ref="R964">_xlfn.IFS(L964&gt;50000,"Premium",L964&gt;20000,"High",L964&gt;5000,"Medium",TRUE,"Low")</f>
        <v>Low</v>
      </c>
    </row>
    <row r="965" spans="1:18" x14ac:dyDescent="0.3">
      <c r="A965" t="s">
        <v>1842</v>
      </c>
      <c r="B965" s="1">
        <v>45077</v>
      </c>
      <c r="C965" t="s">
        <v>372</v>
      </c>
      <c r="D965" t="s">
        <v>370</v>
      </c>
      <c r="E965" t="s">
        <v>78</v>
      </c>
      <c r="F965" t="s">
        <v>32</v>
      </c>
      <c r="G965" t="s">
        <v>253</v>
      </c>
      <c r="H965">
        <v>1</v>
      </c>
      <c r="I965">
        <v>350</v>
      </c>
      <c r="J965">
        <v>10</v>
      </c>
      <c r="K965">
        <v>35</v>
      </c>
      <c r="L965">
        <v>315</v>
      </c>
      <c r="M965">
        <v>36.47</v>
      </c>
      <c r="N965" t="s">
        <v>99</v>
      </c>
      <c r="O965" t="s">
        <v>95</v>
      </c>
      <c r="P965" t="str">
        <f t="shared" si="30"/>
        <v>Low Value</v>
      </c>
      <c r="Q965" t="str">
        <f t="shared" si="31"/>
        <v>Low</v>
      </c>
      <c r="R965" t="str" cm="1">
        <f t="array" ref="R965">_xlfn.IFS(L965&gt;50000,"Premium",L965&gt;20000,"High",L965&gt;5000,"Medium",TRUE,"Low")</f>
        <v>Low</v>
      </c>
    </row>
    <row r="966" spans="1:18" x14ac:dyDescent="0.3">
      <c r="A966" t="s">
        <v>1843</v>
      </c>
      <c r="B966" s="1">
        <v>45263</v>
      </c>
      <c r="C966" t="s">
        <v>1844</v>
      </c>
      <c r="D966" t="s">
        <v>232</v>
      </c>
      <c r="E966" t="s">
        <v>31</v>
      </c>
      <c r="F966" t="s">
        <v>49</v>
      </c>
      <c r="G966" t="s">
        <v>753</v>
      </c>
      <c r="H966">
        <v>5</v>
      </c>
      <c r="I966">
        <v>299</v>
      </c>
      <c r="J966">
        <v>0</v>
      </c>
      <c r="K966">
        <v>0</v>
      </c>
      <c r="L966">
        <v>1495</v>
      </c>
      <c r="M966">
        <v>398.84</v>
      </c>
      <c r="N966" t="s">
        <v>41</v>
      </c>
      <c r="O966" t="s">
        <v>35</v>
      </c>
      <c r="P966" t="str">
        <f t="shared" si="30"/>
        <v>Low Value</v>
      </c>
      <c r="Q966" t="str">
        <f t="shared" si="31"/>
        <v>Low</v>
      </c>
      <c r="R966" t="str" cm="1">
        <f t="array" ref="R966">_xlfn.IFS(L966&gt;50000,"Premium",L966&gt;20000,"High",L966&gt;5000,"Medium",TRUE,"Low")</f>
        <v>Low</v>
      </c>
    </row>
    <row r="967" spans="1:18" x14ac:dyDescent="0.3">
      <c r="A967" t="s">
        <v>1845</v>
      </c>
      <c r="B967" s="1">
        <v>45093</v>
      </c>
      <c r="C967" t="s">
        <v>477</v>
      </c>
      <c r="D967" t="s">
        <v>337</v>
      </c>
      <c r="E967" t="s">
        <v>54</v>
      </c>
      <c r="F967" t="s">
        <v>32</v>
      </c>
      <c r="G967" t="s">
        <v>148</v>
      </c>
      <c r="H967">
        <v>5</v>
      </c>
      <c r="I967">
        <v>120</v>
      </c>
      <c r="J967">
        <v>25</v>
      </c>
      <c r="K967">
        <v>150</v>
      </c>
      <c r="L967">
        <v>450</v>
      </c>
      <c r="M967">
        <v>131.54</v>
      </c>
      <c r="N967" t="s">
        <v>27</v>
      </c>
      <c r="O967" t="s">
        <v>22</v>
      </c>
      <c r="P967" t="str">
        <f t="shared" si="30"/>
        <v>Low Value</v>
      </c>
      <c r="Q967" t="str">
        <f t="shared" si="31"/>
        <v>Low</v>
      </c>
      <c r="R967" t="str" cm="1">
        <f t="array" ref="R967">_xlfn.IFS(L967&gt;50000,"Premium",L967&gt;20000,"High",L967&gt;5000,"Medium",TRUE,"Low")</f>
        <v>Low</v>
      </c>
    </row>
    <row r="968" spans="1:18" x14ac:dyDescent="0.3">
      <c r="A968" t="s">
        <v>1846</v>
      </c>
      <c r="B968" s="1">
        <v>45115</v>
      </c>
      <c r="C968" t="s">
        <v>650</v>
      </c>
      <c r="D968" t="s">
        <v>1847</v>
      </c>
      <c r="E968" t="s">
        <v>54</v>
      </c>
      <c r="F968" t="s">
        <v>69</v>
      </c>
      <c r="G968" t="s">
        <v>119</v>
      </c>
      <c r="H968">
        <v>1</v>
      </c>
      <c r="I968">
        <v>2500</v>
      </c>
      <c r="J968">
        <v>15</v>
      </c>
      <c r="K968">
        <v>375</v>
      </c>
      <c r="L968">
        <v>2125</v>
      </c>
      <c r="M968">
        <v>221.96</v>
      </c>
      <c r="N968" t="s">
        <v>27</v>
      </c>
      <c r="O968" t="s">
        <v>35</v>
      </c>
      <c r="P968" t="str">
        <f t="shared" si="30"/>
        <v>Low Value</v>
      </c>
      <c r="Q968" t="str">
        <f t="shared" si="31"/>
        <v>Low</v>
      </c>
      <c r="R968" t="str" cm="1">
        <f t="array" ref="R968">_xlfn.IFS(L968&gt;50000,"Premium",L968&gt;20000,"High",L968&gt;5000,"Medium",TRUE,"Low")</f>
        <v>Low</v>
      </c>
    </row>
    <row r="969" spans="1:18" x14ac:dyDescent="0.3">
      <c r="A969" t="s">
        <v>1848</v>
      </c>
      <c r="B969" s="1">
        <v>44937</v>
      </c>
      <c r="C969" t="s">
        <v>905</v>
      </c>
      <c r="D969" t="s">
        <v>1849</v>
      </c>
      <c r="E969" t="s">
        <v>18</v>
      </c>
      <c r="F969" t="s">
        <v>32</v>
      </c>
      <c r="G969" t="s">
        <v>148</v>
      </c>
      <c r="H969">
        <v>2</v>
      </c>
      <c r="I969">
        <v>120</v>
      </c>
      <c r="J969">
        <v>15</v>
      </c>
      <c r="K969">
        <v>36</v>
      </c>
      <c r="L969">
        <v>204</v>
      </c>
      <c r="M969">
        <v>52.27</v>
      </c>
      <c r="N969" t="s">
        <v>41</v>
      </c>
      <c r="O969" t="s">
        <v>35</v>
      </c>
      <c r="P969" t="str">
        <f t="shared" si="30"/>
        <v>Low Value</v>
      </c>
      <c r="Q969" t="str">
        <f t="shared" si="31"/>
        <v>Low</v>
      </c>
      <c r="R969" t="str" cm="1">
        <f t="array" ref="R969">_xlfn.IFS(L969&gt;50000,"Premium",L969&gt;20000,"High",L969&gt;5000,"Medium",TRUE,"Low")</f>
        <v>Low</v>
      </c>
    </row>
    <row r="970" spans="1:18" x14ac:dyDescent="0.3">
      <c r="A970" t="s">
        <v>1850</v>
      </c>
      <c r="B970" s="1">
        <v>45159</v>
      </c>
      <c r="C970" t="s">
        <v>514</v>
      </c>
      <c r="D970" t="s">
        <v>1851</v>
      </c>
      <c r="E970" t="s">
        <v>18</v>
      </c>
      <c r="F970" t="s">
        <v>60</v>
      </c>
      <c r="G970" t="s">
        <v>365</v>
      </c>
      <c r="H970">
        <v>1</v>
      </c>
      <c r="I970">
        <v>650</v>
      </c>
      <c r="J970">
        <v>25</v>
      </c>
      <c r="K970">
        <v>162.5</v>
      </c>
      <c r="L970">
        <v>487.5</v>
      </c>
      <c r="M970">
        <v>101.42</v>
      </c>
      <c r="N970" t="s">
        <v>41</v>
      </c>
      <c r="O970" t="s">
        <v>22</v>
      </c>
      <c r="P970" t="str">
        <f t="shared" si="30"/>
        <v>Low Value</v>
      </c>
      <c r="Q970" t="str">
        <f t="shared" si="31"/>
        <v>Low</v>
      </c>
      <c r="R970" t="str" cm="1">
        <f t="array" ref="R970">_xlfn.IFS(L970&gt;50000,"Premium",L970&gt;20000,"High",L970&gt;5000,"Medium",TRUE,"Low")</f>
        <v>Low</v>
      </c>
    </row>
    <row r="971" spans="1:18" x14ac:dyDescent="0.3">
      <c r="A971" t="s">
        <v>1852</v>
      </c>
      <c r="B971" s="1">
        <v>44937</v>
      </c>
      <c r="C971" t="s">
        <v>1399</v>
      </c>
      <c r="D971" t="s">
        <v>235</v>
      </c>
      <c r="E971" t="s">
        <v>78</v>
      </c>
      <c r="F971" t="s">
        <v>19</v>
      </c>
      <c r="G971" t="s">
        <v>107</v>
      </c>
      <c r="H971">
        <v>1</v>
      </c>
      <c r="I971">
        <v>4500</v>
      </c>
      <c r="J971">
        <v>25</v>
      </c>
      <c r="K971">
        <v>1125</v>
      </c>
      <c r="L971">
        <v>3375</v>
      </c>
      <c r="M971">
        <v>1115.1099999999999</v>
      </c>
      <c r="N971" t="s">
        <v>27</v>
      </c>
      <c r="O971" t="s">
        <v>95</v>
      </c>
      <c r="P971" t="str">
        <f t="shared" si="30"/>
        <v>Low Value</v>
      </c>
      <c r="Q971" t="str">
        <f t="shared" si="31"/>
        <v>Low</v>
      </c>
      <c r="R971" t="str" cm="1">
        <f t="array" ref="R971">_xlfn.IFS(L971&gt;50000,"Premium",L971&gt;20000,"High",L971&gt;5000,"Medium",TRUE,"Low")</f>
        <v>Low</v>
      </c>
    </row>
    <row r="972" spans="1:18" x14ac:dyDescent="0.3">
      <c r="A972" t="s">
        <v>1853</v>
      </c>
      <c r="B972" s="1">
        <v>44933</v>
      </c>
      <c r="C972" t="s">
        <v>113</v>
      </c>
      <c r="D972" t="s">
        <v>1021</v>
      </c>
      <c r="E972" t="s">
        <v>83</v>
      </c>
      <c r="F972" t="s">
        <v>49</v>
      </c>
      <c r="G972" t="s">
        <v>50</v>
      </c>
      <c r="H972">
        <v>1</v>
      </c>
      <c r="I972">
        <v>499</v>
      </c>
      <c r="J972">
        <v>20</v>
      </c>
      <c r="K972">
        <v>99.8</v>
      </c>
      <c r="L972">
        <v>399.2</v>
      </c>
      <c r="M972">
        <v>108.12</v>
      </c>
      <c r="N972" t="s">
        <v>41</v>
      </c>
      <c r="O972" t="s">
        <v>95</v>
      </c>
      <c r="P972" t="str">
        <f t="shared" si="30"/>
        <v>Low Value</v>
      </c>
      <c r="Q972" t="str">
        <f t="shared" si="31"/>
        <v>Low</v>
      </c>
      <c r="R972" t="str" cm="1">
        <f t="array" ref="R972">_xlfn.IFS(L972&gt;50000,"Premium",L972&gt;20000,"High",L972&gt;5000,"Medium",TRUE,"Low")</f>
        <v>Low</v>
      </c>
    </row>
    <row r="973" spans="1:18" x14ac:dyDescent="0.3">
      <c r="A973" t="s">
        <v>1854</v>
      </c>
      <c r="B973" s="1">
        <v>45154</v>
      </c>
      <c r="C973" t="s">
        <v>1104</v>
      </c>
      <c r="D973" t="s">
        <v>1237</v>
      </c>
      <c r="E973" t="s">
        <v>78</v>
      </c>
      <c r="F973" t="s">
        <v>49</v>
      </c>
      <c r="G973" t="s">
        <v>94</v>
      </c>
      <c r="H973">
        <v>3</v>
      </c>
      <c r="I973">
        <v>399</v>
      </c>
      <c r="J973">
        <v>10</v>
      </c>
      <c r="K973">
        <v>119.7</v>
      </c>
      <c r="L973">
        <v>1077.3</v>
      </c>
      <c r="M973">
        <v>208.64</v>
      </c>
      <c r="N973" t="s">
        <v>21</v>
      </c>
      <c r="O973" t="s">
        <v>35</v>
      </c>
      <c r="P973" t="str">
        <f t="shared" si="30"/>
        <v>Low Value</v>
      </c>
      <c r="Q973" t="str">
        <f t="shared" si="31"/>
        <v>Low</v>
      </c>
      <c r="R973" t="str" cm="1">
        <f t="array" ref="R973">_xlfn.IFS(L973&gt;50000,"Premium",L973&gt;20000,"High",L973&gt;5000,"Medium",TRUE,"Low")</f>
        <v>Low</v>
      </c>
    </row>
    <row r="974" spans="1:18" x14ac:dyDescent="0.3">
      <c r="A974" t="s">
        <v>1855</v>
      </c>
      <c r="B974" s="1">
        <v>44937</v>
      </c>
      <c r="C974" t="s">
        <v>1856</v>
      </c>
      <c r="D974" t="s">
        <v>228</v>
      </c>
      <c r="E974" t="s">
        <v>59</v>
      </c>
      <c r="F974" t="s">
        <v>49</v>
      </c>
      <c r="G974" t="s">
        <v>50</v>
      </c>
      <c r="H974">
        <v>1</v>
      </c>
      <c r="I974">
        <v>499</v>
      </c>
      <c r="J974">
        <v>20</v>
      </c>
      <c r="K974">
        <v>99.8</v>
      </c>
      <c r="L974">
        <v>399.2</v>
      </c>
      <c r="M974">
        <v>55.5</v>
      </c>
      <c r="N974" t="s">
        <v>27</v>
      </c>
      <c r="O974" t="s">
        <v>35</v>
      </c>
      <c r="P974" t="str">
        <f t="shared" si="30"/>
        <v>Low Value</v>
      </c>
      <c r="Q974" t="str">
        <f t="shared" si="31"/>
        <v>Low</v>
      </c>
      <c r="R974" t="str" cm="1">
        <f t="array" ref="R974">_xlfn.IFS(L974&gt;50000,"Premium",L974&gt;20000,"High",L974&gt;5000,"Medium",TRUE,"Low")</f>
        <v>Low</v>
      </c>
    </row>
    <row r="975" spans="1:18" x14ac:dyDescent="0.3">
      <c r="A975" t="s">
        <v>1857</v>
      </c>
      <c r="B975" s="1">
        <v>45043</v>
      </c>
      <c r="C975" t="s">
        <v>752</v>
      </c>
      <c r="D975" t="s">
        <v>1636</v>
      </c>
      <c r="E975" t="s">
        <v>54</v>
      </c>
      <c r="F975" t="s">
        <v>39</v>
      </c>
      <c r="G975" t="s">
        <v>219</v>
      </c>
      <c r="H975">
        <v>2</v>
      </c>
      <c r="I975">
        <v>18000</v>
      </c>
      <c r="J975">
        <v>10</v>
      </c>
      <c r="K975">
        <v>3600</v>
      </c>
      <c r="L975">
        <v>32400</v>
      </c>
      <c r="M975">
        <v>7990.14</v>
      </c>
      <c r="N975" t="s">
        <v>27</v>
      </c>
      <c r="O975" t="s">
        <v>35</v>
      </c>
      <c r="P975" t="str">
        <f t="shared" si="30"/>
        <v>High Value</v>
      </c>
      <c r="Q975" t="str">
        <f t="shared" si="31"/>
        <v>High</v>
      </c>
      <c r="R975" t="str" cm="1">
        <f t="array" ref="R975">_xlfn.IFS(L975&gt;50000,"Premium",L975&gt;20000,"High",L975&gt;5000,"Medium",TRUE,"Low")</f>
        <v>High</v>
      </c>
    </row>
    <row r="976" spans="1:18" x14ac:dyDescent="0.3">
      <c r="A976" t="s">
        <v>1858</v>
      </c>
      <c r="B976" s="1">
        <v>45041</v>
      </c>
      <c r="C976" t="s">
        <v>657</v>
      </c>
      <c r="D976" t="s">
        <v>435</v>
      </c>
      <c r="E976" t="s">
        <v>59</v>
      </c>
      <c r="F976" t="s">
        <v>19</v>
      </c>
      <c r="G976" t="s">
        <v>103</v>
      </c>
      <c r="H976">
        <v>3</v>
      </c>
      <c r="I976">
        <v>3500</v>
      </c>
      <c r="J976">
        <v>0</v>
      </c>
      <c r="K976">
        <v>0</v>
      </c>
      <c r="L976">
        <v>10500</v>
      </c>
      <c r="M976">
        <v>2464.44</v>
      </c>
      <c r="N976" t="s">
        <v>21</v>
      </c>
      <c r="O976" t="s">
        <v>35</v>
      </c>
      <c r="P976" t="str">
        <f t="shared" si="30"/>
        <v>Low Value</v>
      </c>
      <c r="Q976" t="str">
        <f t="shared" si="31"/>
        <v>Medium</v>
      </c>
      <c r="R976" t="str" cm="1">
        <f t="array" ref="R976">_xlfn.IFS(L976&gt;50000,"Premium",L976&gt;20000,"High",L976&gt;5000,"Medium",TRUE,"Low")</f>
        <v>Medium</v>
      </c>
    </row>
    <row r="977" spans="1:18" x14ac:dyDescent="0.3">
      <c r="A977" t="s">
        <v>1859</v>
      </c>
      <c r="B977" s="1">
        <v>45018</v>
      </c>
      <c r="C977" t="s">
        <v>1544</v>
      </c>
      <c r="D977" t="s">
        <v>1460</v>
      </c>
      <c r="E977" t="s">
        <v>78</v>
      </c>
      <c r="F977" t="s">
        <v>39</v>
      </c>
      <c r="G977" t="s">
        <v>79</v>
      </c>
      <c r="H977">
        <v>3</v>
      </c>
      <c r="I977">
        <v>25000</v>
      </c>
      <c r="J977">
        <v>20</v>
      </c>
      <c r="K977">
        <v>15000</v>
      </c>
      <c r="L977">
        <v>60000</v>
      </c>
      <c r="M977">
        <v>6264.58</v>
      </c>
      <c r="N977" t="s">
        <v>34</v>
      </c>
      <c r="O977" t="s">
        <v>35</v>
      </c>
      <c r="P977" t="str">
        <f t="shared" si="30"/>
        <v>High Value</v>
      </c>
      <c r="Q977" t="str">
        <f t="shared" si="31"/>
        <v>Premium</v>
      </c>
      <c r="R977" t="str" cm="1">
        <f t="array" ref="R977">_xlfn.IFS(L977&gt;50000,"Premium",L977&gt;20000,"High",L977&gt;5000,"Medium",TRUE,"Low")</f>
        <v>Premium</v>
      </c>
    </row>
    <row r="978" spans="1:18" x14ac:dyDescent="0.3">
      <c r="A978" t="s">
        <v>1860</v>
      </c>
      <c r="B978" s="1">
        <v>45065</v>
      </c>
      <c r="C978" t="s">
        <v>802</v>
      </c>
      <c r="D978" t="s">
        <v>800</v>
      </c>
      <c r="E978" t="s">
        <v>83</v>
      </c>
      <c r="F978" t="s">
        <v>39</v>
      </c>
      <c r="G978" t="s">
        <v>213</v>
      </c>
      <c r="H978">
        <v>3</v>
      </c>
      <c r="I978">
        <v>15000</v>
      </c>
      <c r="J978">
        <v>10</v>
      </c>
      <c r="K978">
        <v>4500</v>
      </c>
      <c r="L978">
        <v>40500</v>
      </c>
      <c r="M978">
        <v>11875.24</v>
      </c>
      <c r="N978" t="s">
        <v>27</v>
      </c>
      <c r="O978" t="s">
        <v>35</v>
      </c>
      <c r="P978" t="str">
        <f t="shared" si="30"/>
        <v>High Value</v>
      </c>
      <c r="Q978" t="str">
        <f t="shared" si="31"/>
        <v>High</v>
      </c>
      <c r="R978" t="str" cm="1">
        <f t="array" ref="R978">_xlfn.IFS(L978&gt;50000,"Premium",L978&gt;20000,"High",L978&gt;5000,"Medium",TRUE,"Low")</f>
        <v>High</v>
      </c>
    </row>
    <row r="979" spans="1:18" x14ac:dyDescent="0.3">
      <c r="A979" t="s">
        <v>1861</v>
      </c>
      <c r="B979" s="1">
        <v>45002</v>
      </c>
      <c r="C979" t="s">
        <v>733</v>
      </c>
      <c r="D979" t="s">
        <v>30</v>
      </c>
      <c r="E979" t="s">
        <v>18</v>
      </c>
      <c r="F979" t="s">
        <v>39</v>
      </c>
      <c r="G979" t="s">
        <v>219</v>
      </c>
      <c r="H979">
        <v>4</v>
      </c>
      <c r="I979">
        <v>18000</v>
      </c>
      <c r="J979">
        <v>0</v>
      </c>
      <c r="K979">
        <v>0</v>
      </c>
      <c r="L979">
        <v>72000</v>
      </c>
      <c r="M979">
        <v>6044.34</v>
      </c>
      <c r="N979" t="s">
        <v>34</v>
      </c>
      <c r="O979" t="s">
        <v>35</v>
      </c>
      <c r="P979" t="str">
        <f t="shared" si="30"/>
        <v>High Value</v>
      </c>
      <c r="Q979" t="str">
        <f t="shared" si="31"/>
        <v>Premium</v>
      </c>
      <c r="R979" t="str" cm="1">
        <f t="array" ref="R979">_xlfn.IFS(L979&gt;50000,"Premium",L979&gt;20000,"High",L979&gt;5000,"Medium",TRUE,"Low")</f>
        <v>Premium</v>
      </c>
    </row>
    <row r="980" spans="1:18" x14ac:dyDescent="0.3">
      <c r="A980" t="s">
        <v>1862</v>
      </c>
      <c r="B980" s="1">
        <v>45020</v>
      </c>
      <c r="C980" t="s">
        <v>121</v>
      </c>
      <c r="D980" t="s">
        <v>164</v>
      </c>
      <c r="E980" t="s">
        <v>48</v>
      </c>
      <c r="F980" t="s">
        <v>49</v>
      </c>
      <c r="G980" t="s">
        <v>603</v>
      </c>
      <c r="H980">
        <v>3</v>
      </c>
      <c r="I980">
        <v>449</v>
      </c>
      <c r="J980">
        <v>10</v>
      </c>
      <c r="K980">
        <v>134.69999999999999</v>
      </c>
      <c r="L980">
        <v>1212.3</v>
      </c>
      <c r="M980">
        <v>240.35</v>
      </c>
      <c r="N980" t="s">
        <v>27</v>
      </c>
      <c r="O980" t="s">
        <v>35</v>
      </c>
      <c r="P980" t="str">
        <f t="shared" si="30"/>
        <v>Low Value</v>
      </c>
      <c r="Q980" t="str">
        <f t="shared" si="31"/>
        <v>Low</v>
      </c>
      <c r="R980" t="str" cm="1">
        <f t="array" ref="R980">_xlfn.IFS(L980&gt;50000,"Premium",L980&gt;20000,"High",L980&gt;5000,"Medium",TRUE,"Low")</f>
        <v>Low</v>
      </c>
    </row>
    <row r="981" spans="1:18" x14ac:dyDescent="0.3">
      <c r="A981" t="s">
        <v>1863</v>
      </c>
      <c r="B981" s="1">
        <v>45123</v>
      </c>
      <c r="C981" t="s">
        <v>763</v>
      </c>
      <c r="D981" t="s">
        <v>1331</v>
      </c>
      <c r="E981" t="s">
        <v>26</v>
      </c>
      <c r="F981" t="s">
        <v>39</v>
      </c>
      <c r="G981" t="s">
        <v>79</v>
      </c>
      <c r="H981">
        <v>4</v>
      </c>
      <c r="I981">
        <v>25000</v>
      </c>
      <c r="J981">
        <v>20</v>
      </c>
      <c r="K981">
        <v>20000</v>
      </c>
      <c r="L981">
        <v>80000</v>
      </c>
      <c r="M981">
        <v>16810.5</v>
      </c>
      <c r="N981" t="s">
        <v>99</v>
      </c>
      <c r="O981" t="s">
        <v>95</v>
      </c>
      <c r="P981" t="str">
        <f t="shared" si="30"/>
        <v>High Value</v>
      </c>
      <c r="Q981" t="str">
        <f t="shared" si="31"/>
        <v>Premium</v>
      </c>
      <c r="R981" t="str" cm="1">
        <f t="array" ref="R981">_xlfn.IFS(L981&gt;50000,"Premium",L981&gt;20000,"High",L981&gt;5000,"Medium",TRUE,"Low")</f>
        <v>Premium</v>
      </c>
    </row>
    <row r="982" spans="1:18" x14ac:dyDescent="0.3">
      <c r="A982" t="s">
        <v>1864</v>
      </c>
      <c r="B982" s="1">
        <v>45142</v>
      </c>
      <c r="C982" t="s">
        <v>1793</v>
      </c>
      <c r="D982" t="s">
        <v>1550</v>
      </c>
      <c r="E982" t="s">
        <v>59</v>
      </c>
      <c r="F982" t="s">
        <v>74</v>
      </c>
      <c r="G982" t="s">
        <v>144</v>
      </c>
      <c r="H982">
        <v>2</v>
      </c>
      <c r="I982">
        <v>1500</v>
      </c>
      <c r="J982">
        <v>25</v>
      </c>
      <c r="K982">
        <v>750</v>
      </c>
      <c r="L982">
        <v>2250</v>
      </c>
      <c r="M982">
        <v>171.39</v>
      </c>
      <c r="N982" t="s">
        <v>34</v>
      </c>
      <c r="O982" t="s">
        <v>95</v>
      </c>
      <c r="P982" t="str">
        <f t="shared" si="30"/>
        <v>Low Value</v>
      </c>
      <c r="Q982" t="str">
        <f t="shared" si="31"/>
        <v>Low</v>
      </c>
      <c r="R982" t="str" cm="1">
        <f t="array" ref="R982">_xlfn.IFS(L982&gt;50000,"Premium",L982&gt;20000,"High",L982&gt;5000,"Medium",TRUE,"Low")</f>
        <v>Low</v>
      </c>
    </row>
    <row r="983" spans="1:18" x14ac:dyDescent="0.3">
      <c r="A983" t="s">
        <v>1865</v>
      </c>
      <c r="B983" s="1">
        <v>45169</v>
      </c>
      <c r="C983" t="s">
        <v>1764</v>
      </c>
      <c r="D983" t="s">
        <v>1460</v>
      </c>
      <c r="E983" t="s">
        <v>54</v>
      </c>
      <c r="F983" t="s">
        <v>69</v>
      </c>
      <c r="G983" t="s">
        <v>505</v>
      </c>
      <c r="H983">
        <v>1</v>
      </c>
      <c r="I983">
        <v>499</v>
      </c>
      <c r="J983">
        <v>10</v>
      </c>
      <c r="K983">
        <v>49.9</v>
      </c>
      <c r="L983">
        <v>449.1</v>
      </c>
      <c r="M983">
        <v>71.069999999999993</v>
      </c>
      <c r="N983" t="s">
        <v>27</v>
      </c>
      <c r="O983" t="s">
        <v>95</v>
      </c>
      <c r="P983" t="str">
        <f t="shared" si="30"/>
        <v>Low Value</v>
      </c>
      <c r="Q983" t="str">
        <f t="shared" si="31"/>
        <v>Low</v>
      </c>
      <c r="R983" t="str" cm="1">
        <f t="array" ref="R983">_xlfn.IFS(L983&gt;50000,"Premium",L983&gt;20000,"High",L983&gt;5000,"Medium",TRUE,"Low")</f>
        <v>Low</v>
      </c>
    </row>
    <row r="984" spans="1:18" x14ac:dyDescent="0.3">
      <c r="A984" t="s">
        <v>1866</v>
      </c>
      <c r="B984" s="1">
        <v>45142</v>
      </c>
      <c r="C984" t="s">
        <v>657</v>
      </c>
      <c r="D984" t="s">
        <v>1029</v>
      </c>
      <c r="E984" t="s">
        <v>59</v>
      </c>
      <c r="F984" t="s">
        <v>69</v>
      </c>
      <c r="G984" t="s">
        <v>202</v>
      </c>
      <c r="H984">
        <v>2</v>
      </c>
      <c r="I984">
        <v>1299</v>
      </c>
      <c r="J984">
        <v>0</v>
      </c>
      <c r="K984">
        <v>0</v>
      </c>
      <c r="L984">
        <v>2598</v>
      </c>
      <c r="M984">
        <v>712.11</v>
      </c>
      <c r="N984" t="s">
        <v>41</v>
      </c>
      <c r="O984" t="s">
        <v>35</v>
      </c>
      <c r="P984" t="str">
        <f t="shared" si="30"/>
        <v>Low Value</v>
      </c>
      <c r="Q984" t="str">
        <f t="shared" si="31"/>
        <v>Low</v>
      </c>
      <c r="R984" t="str" cm="1">
        <f t="array" ref="R984">_xlfn.IFS(L984&gt;50000,"Premium",L984&gt;20000,"High",L984&gt;5000,"Medium",TRUE,"Low")</f>
        <v>Low</v>
      </c>
    </row>
    <row r="985" spans="1:18" x14ac:dyDescent="0.3">
      <c r="A985" t="s">
        <v>1867</v>
      </c>
      <c r="B985" s="1">
        <v>44954</v>
      </c>
      <c r="C985" t="s">
        <v>706</v>
      </c>
      <c r="D985" t="s">
        <v>290</v>
      </c>
      <c r="E985" t="s">
        <v>83</v>
      </c>
      <c r="F985" t="s">
        <v>60</v>
      </c>
      <c r="G985" t="s">
        <v>291</v>
      </c>
      <c r="H985">
        <v>5</v>
      </c>
      <c r="I985">
        <v>450</v>
      </c>
      <c r="J985">
        <v>0</v>
      </c>
      <c r="K985">
        <v>0</v>
      </c>
      <c r="L985">
        <v>2250</v>
      </c>
      <c r="M985">
        <v>434.36</v>
      </c>
      <c r="N985" t="s">
        <v>34</v>
      </c>
      <c r="O985" t="s">
        <v>35</v>
      </c>
      <c r="P985" t="str">
        <f t="shared" si="30"/>
        <v>Low Value</v>
      </c>
      <c r="Q985" t="str">
        <f t="shared" si="31"/>
        <v>Low</v>
      </c>
      <c r="R985" t="str" cm="1">
        <f t="array" ref="R985">_xlfn.IFS(L985&gt;50000,"Premium",L985&gt;20000,"High",L985&gt;5000,"Medium",TRUE,"Low")</f>
        <v>Low</v>
      </c>
    </row>
    <row r="986" spans="1:18" x14ac:dyDescent="0.3">
      <c r="A986" t="s">
        <v>1868</v>
      </c>
      <c r="B986" s="1">
        <v>44967</v>
      </c>
      <c r="C986" t="s">
        <v>283</v>
      </c>
      <c r="D986" t="s">
        <v>858</v>
      </c>
      <c r="E986" t="s">
        <v>54</v>
      </c>
      <c r="F986" t="s">
        <v>69</v>
      </c>
      <c r="G986" t="s">
        <v>505</v>
      </c>
      <c r="H986">
        <v>1</v>
      </c>
      <c r="I986">
        <v>499</v>
      </c>
      <c r="J986">
        <v>20</v>
      </c>
      <c r="K986">
        <v>99.8</v>
      </c>
      <c r="L986">
        <v>399.2</v>
      </c>
      <c r="M986">
        <v>119.49</v>
      </c>
      <c r="N986" t="s">
        <v>27</v>
      </c>
      <c r="O986" t="s">
        <v>95</v>
      </c>
      <c r="P986" t="str">
        <f t="shared" si="30"/>
        <v>Low Value</v>
      </c>
      <c r="Q986" t="str">
        <f t="shared" si="31"/>
        <v>Low</v>
      </c>
      <c r="R986" t="str" cm="1">
        <f t="array" ref="R986">_xlfn.IFS(L986&gt;50000,"Premium",L986&gt;20000,"High",L986&gt;5000,"Medium",TRUE,"Low")</f>
        <v>Low</v>
      </c>
    </row>
    <row r="987" spans="1:18" x14ac:dyDescent="0.3">
      <c r="A987" t="s">
        <v>1869</v>
      </c>
      <c r="B987" s="1">
        <v>45284</v>
      </c>
      <c r="C987" t="s">
        <v>167</v>
      </c>
      <c r="D987" t="s">
        <v>188</v>
      </c>
      <c r="E987" t="s">
        <v>18</v>
      </c>
      <c r="F987" t="s">
        <v>32</v>
      </c>
      <c r="G987" t="s">
        <v>259</v>
      </c>
      <c r="H987">
        <v>4</v>
      </c>
      <c r="I987">
        <v>450</v>
      </c>
      <c r="J987">
        <v>25</v>
      </c>
      <c r="K987">
        <v>450</v>
      </c>
      <c r="L987">
        <v>1350</v>
      </c>
      <c r="M987">
        <v>204.12</v>
      </c>
      <c r="N987" t="s">
        <v>27</v>
      </c>
      <c r="O987" t="s">
        <v>35</v>
      </c>
      <c r="P987" t="str">
        <f t="shared" si="30"/>
        <v>Low Value</v>
      </c>
      <c r="Q987" t="str">
        <f t="shared" si="31"/>
        <v>Low</v>
      </c>
      <c r="R987" t="str" cm="1">
        <f t="array" ref="R987">_xlfn.IFS(L987&gt;50000,"Premium",L987&gt;20000,"High",L987&gt;5000,"Medium",TRUE,"Low")</f>
        <v>Low</v>
      </c>
    </row>
    <row r="988" spans="1:18" x14ac:dyDescent="0.3">
      <c r="A988" t="s">
        <v>1870</v>
      </c>
      <c r="B988" s="1">
        <v>45255</v>
      </c>
      <c r="C988" t="s">
        <v>1236</v>
      </c>
      <c r="D988" t="s">
        <v>626</v>
      </c>
      <c r="E988" t="s">
        <v>78</v>
      </c>
      <c r="F988" t="s">
        <v>19</v>
      </c>
      <c r="G988" t="s">
        <v>130</v>
      </c>
      <c r="H988">
        <v>2</v>
      </c>
      <c r="I988">
        <v>22000</v>
      </c>
      <c r="J988">
        <v>20</v>
      </c>
      <c r="K988">
        <v>8800</v>
      </c>
      <c r="L988">
        <v>35200</v>
      </c>
      <c r="M988">
        <v>3453.28</v>
      </c>
      <c r="N988" t="s">
        <v>21</v>
      </c>
      <c r="O988" t="s">
        <v>95</v>
      </c>
      <c r="P988" t="str">
        <f t="shared" si="30"/>
        <v>High Value</v>
      </c>
      <c r="Q988" t="str">
        <f t="shared" si="31"/>
        <v>High</v>
      </c>
      <c r="R988" t="str" cm="1">
        <f t="array" ref="R988">_xlfn.IFS(L988&gt;50000,"Premium",L988&gt;20000,"High",L988&gt;5000,"Medium",TRUE,"Low")</f>
        <v>High</v>
      </c>
    </row>
    <row r="989" spans="1:18" x14ac:dyDescent="0.3">
      <c r="A989" t="s">
        <v>1871</v>
      </c>
      <c r="B989" s="1">
        <v>45083</v>
      </c>
      <c r="C989" t="s">
        <v>407</v>
      </c>
      <c r="D989" t="s">
        <v>744</v>
      </c>
      <c r="E989" t="s">
        <v>83</v>
      </c>
      <c r="F989" t="s">
        <v>60</v>
      </c>
      <c r="G989" t="s">
        <v>165</v>
      </c>
      <c r="H989">
        <v>4</v>
      </c>
      <c r="I989">
        <v>300</v>
      </c>
      <c r="J989">
        <v>5</v>
      </c>
      <c r="K989">
        <v>60</v>
      </c>
      <c r="L989">
        <v>1140</v>
      </c>
      <c r="M989">
        <v>149.97</v>
      </c>
      <c r="N989" t="s">
        <v>27</v>
      </c>
      <c r="O989" t="s">
        <v>22</v>
      </c>
      <c r="P989" t="str">
        <f t="shared" si="30"/>
        <v>Low Value</v>
      </c>
      <c r="Q989" t="str">
        <f t="shared" si="31"/>
        <v>Low</v>
      </c>
      <c r="R989" t="str" cm="1">
        <f t="array" ref="R989">_xlfn.IFS(L989&gt;50000,"Premium",L989&gt;20000,"High",L989&gt;5000,"Medium",TRUE,"Low")</f>
        <v>Low</v>
      </c>
    </row>
    <row r="990" spans="1:18" x14ac:dyDescent="0.3">
      <c r="A990" t="s">
        <v>1872</v>
      </c>
      <c r="B990" s="1">
        <v>45243</v>
      </c>
      <c r="C990" t="s">
        <v>1224</v>
      </c>
      <c r="D990" t="s">
        <v>222</v>
      </c>
      <c r="E990" t="s">
        <v>18</v>
      </c>
      <c r="F990" t="s">
        <v>19</v>
      </c>
      <c r="G990" t="s">
        <v>65</v>
      </c>
      <c r="H990">
        <v>4</v>
      </c>
      <c r="I990">
        <v>55000</v>
      </c>
      <c r="J990">
        <v>5</v>
      </c>
      <c r="K990">
        <v>11000</v>
      </c>
      <c r="L990">
        <v>209000</v>
      </c>
      <c r="M990">
        <v>62021.06</v>
      </c>
      <c r="N990" t="s">
        <v>41</v>
      </c>
      <c r="O990" t="s">
        <v>22</v>
      </c>
      <c r="P990" t="str">
        <f t="shared" si="30"/>
        <v>High Value</v>
      </c>
      <c r="Q990" t="str">
        <f t="shared" si="31"/>
        <v>Premium</v>
      </c>
      <c r="R990" t="str" cm="1">
        <f t="array" ref="R990">_xlfn.IFS(L990&gt;50000,"Premium",L990&gt;20000,"High",L990&gt;5000,"Medium",TRUE,"Low")</f>
        <v>Premium</v>
      </c>
    </row>
    <row r="991" spans="1:18" x14ac:dyDescent="0.3">
      <c r="A991" t="s">
        <v>1873</v>
      </c>
      <c r="B991" s="1">
        <v>45087</v>
      </c>
      <c r="C991" t="s">
        <v>1209</v>
      </c>
      <c r="D991" t="s">
        <v>411</v>
      </c>
      <c r="E991" t="s">
        <v>31</v>
      </c>
      <c r="F991" t="s">
        <v>60</v>
      </c>
      <c r="G991" t="s">
        <v>115</v>
      </c>
      <c r="H991">
        <v>4</v>
      </c>
      <c r="I991">
        <v>1800</v>
      </c>
      <c r="J991">
        <v>15</v>
      </c>
      <c r="K991">
        <v>1080</v>
      </c>
      <c r="L991">
        <v>6120</v>
      </c>
      <c r="M991">
        <v>608.62</v>
      </c>
      <c r="N991" t="s">
        <v>34</v>
      </c>
      <c r="O991" t="s">
        <v>35</v>
      </c>
      <c r="P991" t="str">
        <f t="shared" si="30"/>
        <v>Low Value</v>
      </c>
      <c r="Q991" t="str">
        <f t="shared" si="31"/>
        <v>Medium</v>
      </c>
      <c r="R991" t="str" cm="1">
        <f t="array" ref="R991">_xlfn.IFS(L991&gt;50000,"Premium",L991&gt;20000,"High",L991&gt;5000,"Medium",TRUE,"Low")</f>
        <v>Medium</v>
      </c>
    </row>
    <row r="992" spans="1:18" x14ac:dyDescent="0.3">
      <c r="A992" t="s">
        <v>1874</v>
      </c>
      <c r="B992" s="1">
        <v>44980</v>
      </c>
      <c r="C992" t="s">
        <v>463</v>
      </c>
      <c r="D992" t="s">
        <v>87</v>
      </c>
      <c r="E992" t="s">
        <v>18</v>
      </c>
      <c r="F992" t="s">
        <v>19</v>
      </c>
      <c r="G992" t="s">
        <v>103</v>
      </c>
      <c r="H992">
        <v>5</v>
      </c>
      <c r="I992">
        <v>3500</v>
      </c>
      <c r="J992">
        <v>10</v>
      </c>
      <c r="K992">
        <v>1750</v>
      </c>
      <c r="L992">
        <v>15750</v>
      </c>
      <c r="M992">
        <v>920.03</v>
      </c>
      <c r="N992" t="s">
        <v>99</v>
      </c>
      <c r="O992" t="s">
        <v>35</v>
      </c>
      <c r="P992" t="str">
        <f t="shared" si="30"/>
        <v>Low Value</v>
      </c>
      <c r="Q992" t="str">
        <f t="shared" si="31"/>
        <v>Medium</v>
      </c>
      <c r="R992" t="str" cm="1">
        <f t="array" ref="R992">_xlfn.IFS(L992&gt;50000,"Premium",L992&gt;20000,"High",L992&gt;5000,"Medium",TRUE,"Low")</f>
        <v>Medium</v>
      </c>
    </row>
    <row r="993" spans="1:18" x14ac:dyDescent="0.3">
      <c r="A993" t="s">
        <v>1875</v>
      </c>
      <c r="B993" s="1">
        <v>45232</v>
      </c>
      <c r="C993" t="s">
        <v>1876</v>
      </c>
      <c r="D993" t="s">
        <v>58</v>
      </c>
      <c r="E993" t="s">
        <v>78</v>
      </c>
      <c r="F993" t="s">
        <v>19</v>
      </c>
      <c r="G993" t="s">
        <v>107</v>
      </c>
      <c r="H993">
        <v>3</v>
      </c>
      <c r="I993">
        <v>4500</v>
      </c>
      <c r="J993">
        <v>5</v>
      </c>
      <c r="K993">
        <v>675</v>
      </c>
      <c r="L993">
        <v>12825</v>
      </c>
      <c r="M993">
        <v>2763.88</v>
      </c>
      <c r="N993" t="s">
        <v>99</v>
      </c>
      <c r="O993" t="s">
        <v>95</v>
      </c>
      <c r="P993" t="str">
        <f t="shared" si="30"/>
        <v>Low Value</v>
      </c>
      <c r="Q993" t="str">
        <f t="shared" si="31"/>
        <v>Medium</v>
      </c>
      <c r="R993" t="str" cm="1">
        <f t="array" ref="R993">_xlfn.IFS(L993&gt;50000,"Premium",L993&gt;20000,"High",L993&gt;5000,"Medium",TRUE,"Low")</f>
        <v>Medium</v>
      </c>
    </row>
    <row r="994" spans="1:18" x14ac:dyDescent="0.3">
      <c r="A994" t="s">
        <v>1877</v>
      </c>
      <c r="B994" s="1">
        <v>45216</v>
      </c>
      <c r="C994" t="s">
        <v>407</v>
      </c>
      <c r="D994" t="s">
        <v>794</v>
      </c>
      <c r="E994" t="s">
        <v>48</v>
      </c>
      <c r="F994" t="s">
        <v>19</v>
      </c>
      <c r="G994" t="s">
        <v>130</v>
      </c>
      <c r="H994">
        <v>4</v>
      </c>
      <c r="I994">
        <v>22000</v>
      </c>
      <c r="J994">
        <v>0</v>
      </c>
      <c r="K994">
        <v>0</v>
      </c>
      <c r="L994">
        <v>88000</v>
      </c>
      <c r="M994">
        <v>5668.49</v>
      </c>
      <c r="N994" t="s">
        <v>34</v>
      </c>
      <c r="O994" t="s">
        <v>22</v>
      </c>
      <c r="P994" t="str">
        <f t="shared" si="30"/>
        <v>High Value</v>
      </c>
      <c r="Q994" t="str">
        <f t="shared" si="31"/>
        <v>Premium</v>
      </c>
      <c r="R994" t="str" cm="1">
        <f t="array" ref="R994">_xlfn.IFS(L994&gt;50000,"Premium",L994&gt;20000,"High",L994&gt;5000,"Medium",TRUE,"Low")</f>
        <v>Premium</v>
      </c>
    </row>
    <row r="995" spans="1:18" x14ac:dyDescent="0.3">
      <c r="A995" t="s">
        <v>1878</v>
      </c>
      <c r="B995" s="1">
        <v>45183</v>
      </c>
      <c r="C995" t="s">
        <v>1879</v>
      </c>
      <c r="D995" t="s">
        <v>1118</v>
      </c>
      <c r="E995" t="s">
        <v>26</v>
      </c>
      <c r="F995" t="s">
        <v>69</v>
      </c>
      <c r="G995" t="s">
        <v>275</v>
      </c>
      <c r="H995">
        <v>4</v>
      </c>
      <c r="I995">
        <v>799</v>
      </c>
      <c r="J995">
        <v>25</v>
      </c>
      <c r="K995">
        <v>799</v>
      </c>
      <c r="L995">
        <v>2397</v>
      </c>
      <c r="M995">
        <v>375.73</v>
      </c>
      <c r="N995" t="s">
        <v>21</v>
      </c>
      <c r="O995" t="s">
        <v>35</v>
      </c>
      <c r="P995" t="str">
        <f t="shared" si="30"/>
        <v>Low Value</v>
      </c>
      <c r="Q995" t="str">
        <f t="shared" si="31"/>
        <v>Low</v>
      </c>
      <c r="R995" t="str" cm="1">
        <f t="array" ref="R995">_xlfn.IFS(L995&gt;50000,"Premium",L995&gt;20000,"High",L995&gt;5000,"Medium",TRUE,"Low")</f>
        <v>Low</v>
      </c>
    </row>
    <row r="996" spans="1:18" x14ac:dyDescent="0.3">
      <c r="A996" t="s">
        <v>1880</v>
      </c>
      <c r="B996" s="1">
        <v>45184</v>
      </c>
      <c r="C996" t="s">
        <v>336</v>
      </c>
      <c r="D996" t="s">
        <v>886</v>
      </c>
      <c r="E996" t="s">
        <v>59</v>
      </c>
      <c r="F996" t="s">
        <v>49</v>
      </c>
      <c r="G996" t="s">
        <v>753</v>
      </c>
      <c r="H996">
        <v>2</v>
      </c>
      <c r="I996">
        <v>299</v>
      </c>
      <c r="J996">
        <v>0</v>
      </c>
      <c r="K996">
        <v>0</v>
      </c>
      <c r="L996">
        <v>598</v>
      </c>
      <c r="M996">
        <v>135.24</v>
      </c>
      <c r="N996" t="s">
        <v>34</v>
      </c>
      <c r="O996" t="s">
        <v>35</v>
      </c>
      <c r="P996" t="str">
        <f t="shared" si="30"/>
        <v>Low Value</v>
      </c>
      <c r="Q996" t="str">
        <f t="shared" si="31"/>
        <v>Low</v>
      </c>
      <c r="R996" t="str" cm="1">
        <f t="array" ref="R996">_xlfn.IFS(L996&gt;50000,"Premium",L996&gt;20000,"High",L996&gt;5000,"Medium",TRUE,"Low")</f>
        <v>Low</v>
      </c>
    </row>
    <row r="997" spans="1:18" x14ac:dyDescent="0.3">
      <c r="A997" t="s">
        <v>1881</v>
      </c>
      <c r="B997" s="1">
        <v>45004</v>
      </c>
      <c r="C997" t="s">
        <v>1633</v>
      </c>
      <c r="D997" t="s">
        <v>364</v>
      </c>
      <c r="E997" t="s">
        <v>83</v>
      </c>
      <c r="F997" t="s">
        <v>60</v>
      </c>
      <c r="G997" t="s">
        <v>365</v>
      </c>
      <c r="H997">
        <v>1</v>
      </c>
      <c r="I997">
        <v>650</v>
      </c>
      <c r="J997">
        <v>25</v>
      </c>
      <c r="K997">
        <v>162.5</v>
      </c>
      <c r="L997">
        <v>487.5</v>
      </c>
      <c r="M997">
        <v>38.020000000000003</v>
      </c>
      <c r="N997" t="s">
        <v>27</v>
      </c>
      <c r="O997" t="s">
        <v>95</v>
      </c>
      <c r="P997" t="str">
        <f t="shared" si="30"/>
        <v>Low Value</v>
      </c>
      <c r="Q997" t="str">
        <f t="shared" si="31"/>
        <v>Low</v>
      </c>
      <c r="R997" t="str" cm="1">
        <f t="array" ref="R997">_xlfn.IFS(L997&gt;50000,"Premium",L997&gt;20000,"High",L997&gt;5000,"Medium",TRUE,"Low")</f>
        <v>Low</v>
      </c>
    </row>
    <row r="998" spans="1:18" x14ac:dyDescent="0.3">
      <c r="A998" t="s">
        <v>1882</v>
      </c>
      <c r="B998" s="1">
        <v>45191</v>
      </c>
      <c r="C998" t="s">
        <v>1399</v>
      </c>
      <c r="D998" t="s">
        <v>1309</v>
      </c>
      <c r="E998" t="s">
        <v>48</v>
      </c>
      <c r="F998" t="s">
        <v>60</v>
      </c>
      <c r="G998" t="s">
        <v>61</v>
      </c>
      <c r="H998">
        <v>5</v>
      </c>
      <c r="I998">
        <v>850</v>
      </c>
      <c r="J998">
        <v>10</v>
      </c>
      <c r="K998">
        <v>425</v>
      </c>
      <c r="L998">
        <v>3825</v>
      </c>
      <c r="M998">
        <v>704.73</v>
      </c>
      <c r="N998" t="s">
        <v>21</v>
      </c>
      <c r="O998" t="s">
        <v>22</v>
      </c>
      <c r="P998" t="str">
        <f t="shared" si="30"/>
        <v>Low Value</v>
      </c>
      <c r="Q998" t="str">
        <f t="shared" si="31"/>
        <v>Low</v>
      </c>
      <c r="R998" t="str" cm="1">
        <f t="array" ref="R998">_xlfn.IFS(L998&gt;50000,"Premium",L998&gt;20000,"High",L998&gt;5000,"Medium",TRUE,"Low")</f>
        <v>Low</v>
      </c>
    </row>
    <row r="999" spans="1:18" x14ac:dyDescent="0.3">
      <c r="A999" t="s">
        <v>1883</v>
      </c>
      <c r="B999" s="1">
        <v>44947</v>
      </c>
      <c r="C999" t="s">
        <v>1255</v>
      </c>
      <c r="D999" t="s">
        <v>1652</v>
      </c>
      <c r="E999" t="s">
        <v>83</v>
      </c>
      <c r="F999" t="s">
        <v>60</v>
      </c>
      <c r="G999" t="s">
        <v>349</v>
      </c>
      <c r="H999">
        <v>4</v>
      </c>
      <c r="I999">
        <v>250</v>
      </c>
      <c r="J999">
        <v>5</v>
      </c>
      <c r="K999">
        <v>50</v>
      </c>
      <c r="L999">
        <v>950</v>
      </c>
      <c r="M999">
        <v>107.01</v>
      </c>
      <c r="N999" t="s">
        <v>21</v>
      </c>
      <c r="O999" t="s">
        <v>22</v>
      </c>
      <c r="P999" t="str">
        <f t="shared" si="30"/>
        <v>Low Value</v>
      </c>
      <c r="Q999" t="str">
        <f t="shared" si="31"/>
        <v>Low</v>
      </c>
      <c r="R999" t="str" cm="1">
        <f t="array" ref="R999">_xlfn.IFS(L999&gt;50000,"Premium",L999&gt;20000,"High",L999&gt;5000,"Medium",TRUE,"Low")</f>
        <v>Low</v>
      </c>
    </row>
    <row r="1000" spans="1:18" x14ac:dyDescent="0.3">
      <c r="A1000" t="s">
        <v>1884</v>
      </c>
      <c r="B1000" s="1">
        <v>44976</v>
      </c>
      <c r="C1000" t="s">
        <v>1415</v>
      </c>
      <c r="D1000" t="s">
        <v>1297</v>
      </c>
      <c r="E1000" t="s">
        <v>18</v>
      </c>
      <c r="F1000" t="s">
        <v>49</v>
      </c>
      <c r="G1000" t="s">
        <v>50</v>
      </c>
      <c r="H1000">
        <v>2</v>
      </c>
      <c r="I1000">
        <v>499</v>
      </c>
      <c r="J1000">
        <v>10</v>
      </c>
      <c r="K1000">
        <v>99.8</v>
      </c>
      <c r="L1000">
        <v>898.2</v>
      </c>
      <c r="M1000">
        <v>192.34</v>
      </c>
      <c r="N1000" t="s">
        <v>41</v>
      </c>
      <c r="O1000" t="s">
        <v>35</v>
      </c>
      <c r="P1000" t="str">
        <f t="shared" si="30"/>
        <v>Low Value</v>
      </c>
      <c r="Q1000" t="str">
        <f t="shared" si="31"/>
        <v>Low</v>
      </c>
      <c r="R1000" t="str" cm="1">
        <f t="array" ref="R1000">_xlfn.IFS(L1000&gt;50000,"Premium",L1000&gt;20000,"High",L1000&gt;5000,"Medium",TRUE,"Low")</f>
        <v>Low</v>
      </c>
    </row>
    <row r="1001" spans="1:18" x14ac:dyDescent="0.3">
      <c r="A1001" t="s">
        <v>1885</v>
      </c>
      <c r="B1001" s="1">
        <v>45013</v>
      </c>
      <c r="C1001" t="s">
        <v>363</v>
      </c>
      <c r="D1001" t="s">
        <v>1042</v>
      </c>
      <c r="E1001" t="s">
        <v>83</v>
      </c>
      <c r="F1001" t="s">
        <v>32</v>
      </c>
      <c r="G1001" t="s">
        <v>148</v>
      </c>
      <c r="H1001">
        <v>1</v>
      </c>
      <c r="I1001">
        <v>120</v>
      </c>
      <c r="J1001">
        <v>10</v>
      </c>
      <c r="K1001">
        <v>12</v>
      </c>
      <c r="L1001">
        <v>108</v>
      </c>
      <c r="M1001">
        <v>24.08</v>
      </c>
      <c r="N1001" t="s">
        <v>41</v>
      </c>
      <c r="O1001" t="s">
        <v>35</v>
      </c>
      <c r="P1001" t="str">
        <f t="shared" si="30"/>
        <v>Low Value</v>
      </c>
      <c r="Q1001" t="str">
        <f t="shared" si="31"/>
        <v>Low</v>
      </c>
      <c r="R1001" t="str" cm="1">
        <f t="array" ref="R1001">_xlfn.IFS(L1001&gt;50000,"Premium",L1001&gt;20000,"High",L1001&gt;5000,"Medium",TRUE,"Low")</f>
        <v>Low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5C41E-73D9-4B62-AA11-DE873A072D92}">
  <dimension ref="A1:D2"/>
  <sheetViews>
    <sheetView tabSelected="1" workbookViewId="0">
      <selection activeCell="B2" sqref="B2"/>
    </sheetView>
  </sheetViews>
  <sheetFormatPr defaultRowHeight="14.4" x14ac:dyDescent="0.3"/>
  <cols>
    <col min="1" max="1" width="8.33203125" bestFit="1" customWidth="1"/>
    <col min="2" max="2" width="10" bestFit="1" customWidth="1"/>
    <col min="3" max="3" width="9.33203125" bestFit="1" customWidth="1"/>
    <col min="4" max="4" width="10.44140625" bestFit="1" customWidth="1"/>
  </cols>
  <sheetData>
    <row r="1" spans="1:4" x14ac:dyDescent="0.3">
      <c r="A1" s="3" t="s">
        <v>0</v>
      </c>
      <c r="B1" s="2" t="s">
        <v>5</v>
      </c>
      <c r="C1" s="2" t="s">
        <v>11</v>
      </c>
      <c r="D1" s="2" t="s">
        <v>1</v>
      </c>
    </row>
    <row r="2" spans="1:4" x14ac:dyDescent="0.3">
      <c r="B2" t="s">
        <v>19</v>
      </c>
    </row>
  </sheetData>
  <dataValidations count="1">
    <dataValidation type="list" allowBlank="1" showInputMessage="1" showErrorMessage="1" sqref="B2" xr:uid="{409807E8-E313-4664-B64F-3D4530C01F9D}">
      <formula1>"Electronics,Clothing,Groceries,Furniture,Sports,Beauty,Books"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F3BF-DFED-41C1-AFF3-ACE554C05165}">
  <dimension ref="A1:D8"/>
  <sheetViews>
    <sheetView workbookViewId="0">
      <selection activeCell="F16" sqref="F16"/>
    </sheetView>
  </sheetViews>
  <sheetFormatPr defaultRowHeight="14.4" x14ac:dyDescent="0.3"/>
  <cols>
    <col min="1" max="1" width="10" bestFit="1" customWidth="1"/>
    <col min="2" max="2" width="13.77734375" bestFit="1" customWidth="1"/>
    <col min="3" max="3" width="11.6640625" bestFit="1" customWidth="1"/>
    <col min="4" max="4" width="13.44140625" bestFit="1" customWidth="1"/>
  </cols>
  <sheetData>
    <row r="1" spans="1:4" x14ac:dyDescent="0.3">
      <c r="A1" s="3" t="s">
        <v>5</v>
      </c>
      <c r="B1" s="2" t="s">
        <v>11</v>
      </c>
      <c r="C1" s="2" t="s">
        <v>12</v>
      </c>
      <c r="D1" s="2" t="s">
        <v>1886</v>
      </c>
    </row>
    <row r="2" spans="1:4" x14ac:dyDescent="0.3">
      <c r="A2" t="s">
        <v>60</v>
      </c>
      <c r="B2" s="7">
        <f>VLOOKUP(A2,'Task1 '!A3:C11,2,FALSE)</f>
        <v>296457.5</v>
      </c>
      <c r="C2" s="7">
        <f>VLOOKUP(B2,'Task1 '!B3:D11,2,FALSE)</f>
        <v>0</v>
      </c>
      <c r="D2" s="9">
        <f>C2/B2</f>
        <v>0</v>
      </c>
    </row>
    <row r="3" spans="1:4" x14ac:dyDescent="0.3">
      <c r="A3" t="s">
        <v>49</v>
      </c>
      <c r="B3" s="7" t="e">
        <f>VLOOKUP(A3,'Task1 '!A4:C12,2,FALSE)</f>
        <v>#N/A</v>
      </c>
      <c r="C3" s="7" t="e">
        <f>VLOOKUP(B3,'Task1 '!B4:D12,2,FALSE)</f>
        <v>#N/A</v>
      </c>
      <c r="D3" s="9" t="e">
        <f t="shared" ref="D3:D8" si="0">C3/B3</f>
        <v>#N/A</v>
      </c>
    </row>
    <row r="4" spans="1:4" x14ac:dyDescent="0.3">
      <c r="A4" t="s">
        <v>69</v>
      </c>
      <c r="B4" s="7" t="e">
        <f>VLOOKUP(A4,'Task1 '!A5:C13,2,FALSE)</f>
        <v>#N/A</v>
      </c>
      <c r="C4" s="7" t="e">
        <f>VLOOKUP(B4,'Task1 '!B5:D13,2,FALSE)</f>
        <v>#N/A</v>
      </c>
      <c r="D4" s="9" t="e">
        <f t="shared" si="0"/>
        <v>#N/A</v>
      </c>
    </row>
    <row r="5" spans="1:4" x14ac:dyDescent="0.3">
      <c r="A5" t="s">
        <v>19</v>
      </c>
      <c r="B5" s="7" t="e">
        <f>VLOOKUP(A5,'Task1 '!A6:C14,2,FALSE)</f>
        <v>#N/A</v>
      </c>
      <c r="C5" s="7" t="e">
        <f>VLOOKUP(B5,'Task1 '!B6:D14,2,FALSE)</f>
        <v>#N/A</v>
      </c>
      <c r="D5" s="9" t="e">
        <f t="shared" si="0"/>
        <v>#N/A</v>
      </c>
    </row>
    <row r="6" spans="1:4" x14ac:dyDescent="0.3">
      <c r="A6" t="s">
        <v>39</v>
      </c>
      <c r="B6" s="7" t="e">
        <f>VLOOKUP(A6,'Task1 '!A7:C15,2,FALSE)</f>
        <v>#N/A</v>
      </c>
      <c r="C6" s="7" t="e">
        <f>VLOOKUP(B6,'Task1 '!B7:D15,2,FALSE)</f>
        <v>#N/A</v>
      </c>
      <c r="D6" s="9" t="e">
        <f t="shared" si="0"/>
        <v>#N/A</v>
      </c>
    </row>
    <row r="7" spans="1:4" x14ac:dyDescent="0.3">
      <c r="A7" t="s">
        <v>32</v>
      </c>
      <c r="B7" s="7" t="e">
        <f>VLOOKUP(A7,'Task1 '!A8:C16,2,FALSE)</f>
        <v>#N/A</v>
      </c>
      <c r="C7" s="7" t="e">
        <f>VLOOKUP(B7,'Task1 '!B8:D16,2,FALSE)</f>
        <v>#N/A</v>
      </c>
      <c r="D7" s="9" t="e">
        <f t="shared" si="0"/>
        <v>#N/A</v>
      </c>
    </row>
    <row r="8" spans="1:4" x14ac:dyDescent="0.3">
      <c r="A8" t="s">
        <v>74</v>
      </c>
      <c r="B8" s="7" t="e">
        <f>VLOOKUP(A8,'Task1 '!A9:C17,2,FALSE)</f>
        <v>#N/A</v>
      </c>
      <c r="C8" s="7" t="e">
        <f>VLOOKUP(B8,'Task1 '!B9:D17,2,FALSE)</f>
        <v>#N/A</v>
      </c>
      <c r="D8" s="9" t="e">
        <f t="shared" si="0"/>
        <v>#N/A</v>
      </c>
    </row>
  </sheetData>
  <conditionalFormatting sqref="D2:D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2:B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Task1 </vt:lpstr>
      <vt:lpstr>RetailSales_Dataset</vt:lpstr>
      <vt:lpstr>Data validation</vt:lpstr>
      <vt:lpstr>Hard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</dc:creator>
  <cp:lastModifiedBy>Suraj S P</cp:lastModifiedBy>
  <dcterms:created xsi:type="dcterms:W3CDTF">2026-05-10T02:59:06Z</dcterms:created>
  <dcterms:modified xsi:type="dcterms:W3CDTF">2026-05-11T15:05:33Z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2026-05-10T03:00:25Z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bf33de35-b58a-40ae-bc89-cfe9ba630193</vt:lpwstr>
  </property>
  <property fmtid="{D5CDD505-2E9C-101B-9397-08002B2CF9AE}" pid="7" name="MSIP_Label_defa4170-0d19-0005-0004-bc88714345d2_ActionId">
    <vt:lpwstr>495f960b-07a8-4279-8a13-f2c58719b831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