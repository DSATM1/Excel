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Excel\"/>
    </mc:Choice>
  </mc:AlternateContent>
  <xr:revisionPtr revIDLastSave="0" documentId="13_ncr:9_{5B4E17E3-C17D-4116-8184-FB3AB4E1A581}" xr6:coauthVersionLast="47" xr6:coauthVersionMax="47" xr10:uidLastSave="{00000000-0000-0000-0000-000000000000}"/>
  <bookViews>
    <workbookView xWindow="-108" yWindow="-108" windowWidth="23256" windowHeight="12456" xr2:uid="{1CF27B0E-1027-4419-BEEC-551758462B63}"/>
  </bookViews>
  <sheets>
    <sheet name="KPI" sheetId="1" r:id="rId1"/>
  </sheets>
  <definedNames>
    <definedName name="Slicer_Category">#N/A</definedName>
    <definedName name="Slicer_Region">#N/A</definedName>
  </definedNames>
  <calcPr calcId="0"/>
  <pivotCaches>
    <pivotCache cacheId="6" r:id="rId2"/>
  </pivotCaches>
  <extLst>
    <ext xmlns:x14="http://schemas.microsoft.com/office/spreadsheetml/2009/9/main" uri="{BBE1A952-AA13-448e-AADC-164F8A28A991}">
      <x14:slicerCaches>
        <x14:slicerCache r:id="rId3"/>
        <x14:slicerCache r:id="rId4"/>
      </x14:slicerCaches>
    </ext>
    <ext xmlns:x14="http://schemas.microsoft.com/office/spreadsheetml/2009/9/main" uri="{79F54976-1DA5-4618-B147-4CDE4B953A38}">
      <x14:workbookPr/>
    </ext>
  </extLst>
</workbook>
</file>

<file path=xl/calcChain.xml><?xml version="1.0" encoding="utf-8"?>
<calcChain xmlns="http://schemas.openxmlformats.org/spreadsheetml/2006/main">
  <c r="R16" i="1" l="1"/>
  <c r="S14" i="1"/>
</calcChain>
</file>

<file path=xl/sharedStrings.xml><?xml version="1.0" encoding="utf-8"?>
<sst xmlns="http://schemas.openxmlformats.org/spreadsheetml/2006/main" count="99" uniqueCount="30">
  <si>
    <t>Order ID</t>
  </si>
  <si>
    <t>Date</t>
  </si>
  <si>
    <t>Product</t>
  </si>
  <si>
    <t>Category</t>
  </si>
  <si>
    <t>Region</t>
  </si>
  <si>
    <t>Sales</t>
  </si>
  <si>
    <t>Quantity</t>
  </si>
  <si>
    <t>Laptop</t>
  </si>
  <si>
    <t>Electronics</t>
  </si>
  <si>
    <t>South</t>
  </si>
  <si>
    <t>Mouse</t>
  </si>
  <si>
    <t>Accessories</t>
  </si>
  <si>
    <t>North</t>
  </si>
  <si>
    <t>Keyboard</t>
  </si>
  <si>
    <t>East</t>
  </si>
  <si>
    <t>Monitor</t>
  </si>
  <si>
    <t>West</t>
  </si>
  <si>
    <t>Headphones</t>
  </si>
  <si>
    <t>Printer</t>
  </si>
  <si>
    <t>Webcam</t>
  </si>
  <si>
    <t>Tablet</t>
  </si>
  <si>
    <t>Row Labels</t>
  </si>
  <si>
    <t>Grand Total</t>
  </si>
  <si>
    <t>Sum of Sales</t>
  </si>
  <si>
    <t>Jan</t>
  </si>
  <si>
    <t>Apr</t>
  </si>
  <si>
    <t>Jun</t>
  </si>
  <si>
    <t>Aug</t>
  </si>
  <si>
    <t>Oct</t>
  </si>
  <si>
    <t xml:space="preserve">Total Sales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</si>
</sst>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6"/>
      <color rgb="FFFF000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16" fillId="0" borderId="0" xfId="0" applyFont="1"/>
    <xf numFmtId="0" fontId="18" fillId="33" borderId="10" xfId="0" applyFont="1" applyFill="1" applyBorder="1" applyAlignment="1">
      <alignment horizontal="center" vertical="center"/>
    </xf>
    <xf numFmtId="0" fontId="18" fillId="33" borderId="11" xfId="0" applyFont="1" applyFill="1" applyBorder="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microsoft.com/office/2007/relationships/slicerCache" Target="slicerCaches/slicerCache1.xml"/><Relationship Id="rId7" Type="http://schemas.openxmlformats.org/officeDocument/2006/relationships/sharedStrings" Target="sharedStrings.xml"/><Relationship Id="rId2"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[KPI.xlsx]KPI!PivotTable3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KPI!$J$6</c:f>
              <c:strCache>
                <c:ptCount val="1"/>
                <c:pt idx="0">
                  <c:v>Total</c:v>
                </c:pt>
              </c:strCache>
            </c:strRef>
          </c:tx>
          <c:spPr>
            <a:solidFill>
              <a:schemeClr val="accent1"/>
            </a:solidFill>
            <a:ln>
              <a:noFill/>
            </a:ln>
            <a:effectLst/>
          </c:spPr>
          <c:invertIfNegative val="0"/>
          <c:cat>
            <c:strRef>
              <c:f>KPI!$I$7:$I$11</c:f>
              <c:strCache>
                <c:ptCount val="4"/>
                <c:pt idx="0">
                  <c:v>East</c:v>
                </c:pt>
                <c:pt idx="1">
                  <c:v>North</c:v>
                </c:pt>
                <c:pt idx="2">
                  <c:v>South</c:v>
                </c:pt>
                <c:pt idx="3">
                  <c:v>West</c:v>
                </c:pt>
              </c:strCache>
            </c:strRef>
          </c:cat>
          <c:val>
            <c:numRef>
              <c:f>KPI!$J$7:$J$11</c:f>
              <c:numCache>
                <c:formatCode>General</c:formatCode>
                <c:ptCount val="4"/>
                <c:pt idx="0">
                  <c:v>35200</c:v>
                </c:pt>
                <c:pt idx="1">
                  <c:v>121100</c:v>
                </c:pt>
                <c:pt idx="2">
                  <c:v>196700</c:v>
                </c:pt>
                <c:pt idx="3">
                  <c:v>48600</c:v>
                </c:pt>
              </c:numCache>
            </c:numRef>
          </c:val>
          <c:extLst>
            <c:ext xmlns:c16="http://schemas.microsoft.com/office/drawing/2014/chart" uri="{C3380CC4-5D6E-409C-BE32-E72D297353CC}">
              <c16:uniqueId val="{00000000-9E58-4FA5-8BA2-3297E2180699}"/>
            </c:ext>
          </c:extLst>
        </c:ser>
        <c:dLbls>
          <c:showLegendKey val="0"/>
          <c:showVal val="0"/>
          <c:showCatName val="0"/>
          <c:showSerName val="0"/>
          <c:showPercent val="0"/>
          <c:showBubbleSize val="0"/>
        </c:dLbls>
        <c:gapWidth val="219"/>
        <c:overlap val="-27"/>
        <c:axId val="823398751"/>
        <c:axId val="823403071"/>
      </c:barChart>
      <c:catAx>
        <c:axId val="823398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403071"/>
        <c:crosses val="autoZero"/>
        <c:auto val="1"/>
        <c:lblAlgn val="ctr"/>
        <c:lblOffset val="100"/>
        <c:noMultiLvlLbl val="0"/>
      </c:catAx>
      <c:valAx>
        <c:axId val="823403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33987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[KPI.xlsx]KPI!PivotTable1</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KPI!$J$1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KPI!$I$2:$I$4</c:f>
              <c:strCache>
                <c:ptCount val="2"/>
                <c:pt idx="0">
                  <c:v>Accessories</c:v>
                </c:pt>
                <c:pt idx="1">
                  <c:v>Electronics</c:v>
                </c:pt>
              </c:strCache>
            </c:strRef>
          </c:cat>
          <c:val>
            <c:numRef>
              <c:f>KPI!$J$2:$J$4</c:f>
              <c:numCache>
                <c:formatCode>General</c:formatCode>
                <c:ptCount val="2"/>
                <c:pt idx="0">
                  <c:v>30100</c:v>
                </c:pt>
                <c:pt idx="1">
                  <c:v>371500</c:v>
                </c:pt>
              </c:numCache>
            </c:numRef>
          </c:val>
          <c:extLst>
            <c:ext xmlns:c16="http://schemas.microsoft.com/office/drawing/2014/chart" uri="{C3380CC4-5D6E-409C-BE32-E72D297353CC}">
              <c16:uniqueId val="{00000000-075F-4CBF-83D7-211F64FDFE72}"/>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[KPI.xlsx]KPI!PivotTable5</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KPI!$M$1</c:f>
              <c:strCache>
                <c:ptCount val="1"/>
                <c:pt idx="0">
                  <c:v>Total</c:v>
                </c:pt>
              </c:strCache>
            </c:strRef>
          </c:tx>
          <c:spPr>
            <a:ln w="28575" cap="rnd">
              <a:solidFill>
                <a:schemeClr val="accent1"/>
              </a:solidFill>
              <a:round/>
            </a:ln>
            <a:effectLst/>
          </c:spPr>
          <c:marker>
            <c:symbol val="none"/>
          </c:marker>
          <c:cat>
            <c:strRef>
              <c:f>KPI!$L$2:$L$7</c:f>
              <c:strCache>
                <c:ptCount val="5"/>
                <c:pt idx="0">
                  <c:v>Jan</c:v>
                </c:pt>
                <c:pt idx="1">
                  <c:v>Apr</c:v>
                </c:pt>
                <c:pt idx="2">
                  <c:v>Jun</c:v>
                </c:pt>
                <c:pt idx="3">
                  <c:v>Aug</c:v>
                </c:pt>
                <c:pt idx="4">
                  <c:v>Oct</c:v>
                </c:pt>
              </c:strCache>
            </c:strRef>
          </c:cat>
          <c:val>
            <c:numRef>
              <c:f>KPI!$M$2:$M$7</c:f>
              <c:numCache>
                <c:formatCode>General</c:formatCode>
                <c:ptCount val="5"/>
                <c:pt idx="0">
                  <c:v>2000</c:v>
                </c:pt>
                <c:pt idx="1">
                  <c:v>55000</c:v>
                </c:pt>
                <c:pt idx="2">
                  <c:v>3200</c:v>
                </c:pt>
                <c:pt idx="3">
                  <c:v>58000</c:v>
                </c:pt>
                <c:pt idx="4">
                  <c:v>2900</c:v>
                </c:pt>
              </c:numCache>
            </c:numRef>
          </c:val>
          <c:smooth val="0"/>
          <c:extLst>
            <c:ext xmlns:c16="http://schemas.microsoft.com/office/drawing/2014/chart" uri="{C3380CC4-5D6E-409C-BE32-E72D297353CC}">
              <c16:uniqueId val="{00000000-073D-413B-8B78-06BAD4CCCF72}"/>
            </c:ext>
          </c:extLst>
        </c:ser>
        <c:dLbls>
          <c:showLegendKey val="0"/>
          <c:showVal val="0"/>
          <c:showCatName val="0"/>
          <c:showSerName val="0"/>
          <c:showPercent val="0"/>
          <c:showBubbleSize val="0"/>
        </c:dLbls>
        <c:smooth val="0"/>
        <c:axId val="1308470191"/>
        <c:axId val="1308470671"/>
      </c:lineChart>
      <c:catAx>
        <c:axId val="13084701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8470671"/>
        <c:crosses val="autoZero"/>
        <c:auto val="1"/>
        <c:lblAlgn val="ctr"/>
        <c:lblOffset val="100"/>
        <c:noMultiLvlLbl val="0"/>
      </c:catAx>
      <c:valAx>
        <c:axId val="13084706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8470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198120</xdr:colOff>
      <xdr:row>21</xdr:row>
      <xdr:rowOff>179070</xdr:rowOff>
    </xdr:from>
    <xdr:to>
      <xdr:col>5</xdr:col>
      <xdr:colOff>144780</xdr:colOff>
      <xdr:row>34</xdr:row>
      <xdr:rowOff>30480</xdr:rowOff>
    </xdr:to>
    <xdr:graphicFrame macro="">
      <xdr:nvGraphicFramePr>
        <xdr:cNvPr id="2" name="Chart 1">
          <a:extLst>
            <a:ext uri="{FF2B5EF4-FFF2-40B4-BE49-F238E27FC236}">
              <a16:creationId xmlns:a16="http://schemas.microsoft.com/office/drawing/2014/main" id="{FD81DADA-26F8-17F1-C4D2-F578E3CCEB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144780</xdr:colOff>
      <xdr:row>23</xdr:row>
      <xdr:rowOff>15240</xdr:rowOff>
    </xdr:from>
    <xdr:to>
      <xdr:col>9</xdr:col>
      <xdr:colOff>579120</xdr:colOff>
      <xdr:row>34</xdr:row>
      <xdr:rowOff>22860</xdr:rowOff>
    </xdr:to>
    <xdr:graphicFrame macro="">
      <xdr:nvGraphicFramePr>
        <xdr:cNvPr id="3" name="Chart 2">
          <a:extLst>
            <a:ext uri="{FF2B5EF4-FFF2-40B4-BE49-F238E27FC236}">
              <a16:creationId xmlns:a16="http://schemas.microsoft.com/office/drawing/2014/main" id="{57B1C345-F5F4-A00F-4F64-83C0FDADF2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68580</xdr:colOff>
      <xdr:row>12</xdr:row>
      <xdr:rowOff>125730</xdr:rowOff>
    </xdr:from>
    <xdr:to>
      <xdr:col>16</xdr:col>
      <xdr:colOff>381000</xdr:colOff>
      <xdr:row>27</xdr:row>
      <xdr:rowOff>144780</xdr:rowOff>
    </xdr:to>
    <xdr:graphicFrame macro="">
      <xdr:nvGraphicFramePr>
        <xdr:cNvPr id="4" name="Chart 3">
          <a:extLst>
            <a:ext uri="{FF2B5EF4-FFF2-40B4-BE49-F238E27FC236}">
              <a16:creationId xmlns:a16="http://schemas.microsoft.com/office/drawing/2014/main" id="{5EC9EB41-41AD-1273-1047-75C71F14D9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60960</xdr:colOff>
      <xdr:row>0</xdr:row>
      <xdr:rowOff>1</xdr:rowOff>
    </xdr:from>
    <xdr:to>
      <xdr:col>20</xdr:col>
      <xdr:colOff>556260</xdr:colOff>
      <xdr:row>9</xdr:row>
      <xdr:rowOff>45721</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CC0513BA-987D-8D6E-AAC4-015115B582C5}"/>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2054840" y="1"/>
              <a:ext cx="1828800" cy="1691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556260</xdr:colOff>
      <xdr:row>0</xdr:row>
      <xdr:rowOff>1</xdr:rowOff>
    </xdr:from>
    <xdr:to>
      <xdr:col>17</xdr:col>
      <xdr:colOff>99060</xdr:colOff>
      <xdr:row>10</xdr:row>
      <xdr:rowOff>152401</xdr:rowOff>
    </xdr:to>
    <mc:AlternateContent xmlns:mc="http://schemas.openxmlformats.org/markup-compatibility/2006">
      <mc:Choice xmlns:a14="http://schemas.microsoft.com/office/drawing/2010/main" Requires="a14">
        <xdr:graphicFrame macro="">
          <xdr:nvGraphicFramePr>
            <xdr:cNvPr id="6" name="Region">
              <a:extLst>
                <a:ext uri="{FF2B5EF4-FFF2-40B4-BE49-F238E27FC236}">
                  <a16:creationId xmlns:a16="http://schemas.microsoft.com/office/drawing/2014/main" id="{E49E9FC5-2029-F574-19C4-B389573EDBF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9235440" y="1"/>
              <a:ext cx="1828800" cy="1981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aj S P" refreshedDate="46128.757915393522" createdVersion="8" refreshedVersion="8" minRefreshableVersion="3" recordCount="20" xr:uid="{B895CCB6-A414-4499-85E1-1A5B7D83013A}">
  <cacheSource type="worksheet">
    <worksheetSource ref="A1:G21" sheet="KPI"/>
  </cacheSource>
  <cacheFields count="9">
    <cacheField name="Order ID" numFmtId="0">
      <sharedItems containsSemiMixedTypes="0" containsString="0" containsNumber="1" containsInteger="1" minValue="1" maxValue="20"/>
    </cacheField>
    <cacheField name="Date" numFmtId="14">
      <sharedItems containsSemiMixedTypes="0" containsNonDate="0" containsDate="1" containsString="0" minDate="2026-01-01T00:00:00" maxDate="2026-10-18T00:00:00" count="17">
        <d v="2026-01-01T00:00:00"/>
        <d v="2026-02-02T00:00:00"/>
        <d v="2026-03-03T00:00:00"/>
        <d v="2026-04-04T00:00:00"/>
        <d v="2026-04-05T00:00:00"/>
        <d v="2026-05-06T00:00:00"/>
        <d v="2026-05-07T00:00:00"/>
        <d v="2026-06-08T00:00:00"/>
        <d v="2026-06-09T00:00:00"/>
        <d v="2026-07-10T00:00:00"/>
        <d v="2026-07-11T00:00:00"/>
        <d v="2026-08-12T00:00:00"/>
        <d v="2026-08-13T00:00:00"/>
        <d v="2026-09-14T00:00:00"/>
        <d v="2026-09-15T00:00:00"/>
        <d v="2026-10-16T00:00:00"/>
        <d v="2026-10-17T00:00:00"/>
      </sharedItems>
      <fieldGroup par="8"/>
    </cacheField>
    <cacheField name="Product" numFmtId="0">
      <sharedItems count="8">
        <s v="Laptop"/>
        <s v="Mouse"/>
        <s v="Keyboard"/>
        <s v="Monitor"/>
        <s v="Headphones"/>
        <s v="Printer"/>
        <s v="Webcam"/>
        <s v="Tablet"/>
      </sharedItems>
    </cacheField>
    <cacheField name="Category" numFmtId="0">
      <sharedItems count="2">
        <s v="Electronics"/>
        <s v="Accessories"/>
      </sharedItems>
    </cacheField>
    <cacheField name="Region" numFmtId="0">
      <sharedItems count="4">
        <s v="South"/>
        <s v="North"/>
        <s v="East"/>
        <s v="West"/>
      </sharedItems>
    </cacheField>
    <cacheField name="Sales" numFmtId="0">
      <sharedItems containsSemiMixedTypes="0" containsString="0" containsNumber="1" containsInteger="1" minValue="1800" maxValue="62000"/>
    </cacheField>
    <cacheField name="Quantity" numFmtId="0">
      <sharedItems containsSemiMixedTypes="0" containsString="0" containsNumber="1" containsInteger="1" minValue="1" maxValue="6"/>
    </cacheField>
    <cacheField name="Days (Date)" numFmtId="0" databaseField="0">
      <fieldGroup base="1">
        <rangePr groupBy="days" startDate="2026-01-01T00:00:00" endDate="2026-10-18T00:00:00"/>
        <groupItems count="368">
          <s v="&lt;01-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8-10-2026"/>
        </groupItems>
      </fieldGroup>
    </cacheField>
    <cacheField name="Months (Date)" numFmtId="0" databaseField="0">
      <fieldGroup base="1">
        <rangePr groupBy="months" startDate="2026-01-01T00:00:00" endDate="2026-10-18T00:00:00"/>
        <groupItems count="14">
          <s v="&lt;01-01-2026"/>
          <s v="Jan"/>
          <s v="Feb"/>
          <s v="Mar"/>
          <s v="Apr"/>
          <s v="May"/>
          <s v="Jun"/>
          <s v="Jul"/>
          <s v="Aug"/>
          <s v="Sep"/>
          <s v="Oct"/>
          <s v="Nov"/>
          <s v="Dec"/>
          <s v="&gt;18-10-2026"/>
        </groupItems>
      </fieldGroup>
    </cacheField>
  </cacheFields>
  <extLst>
    <ext xmlns:x14="http://schemas.microsoft.com/office/spreadsheetml/2009/9/main" uri="{725AE2AE-9491-48be-B2B4-4EB974FC3084}">
      <x14:pivotCacheDefinition pivotCacheId="1395571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
    <x v="0"/>
    <x v="0"/>
    <x v="0"/>
    <x v="0"/>
    <n v="50000"/>
    <n v="2"/>
  </r>
  <r>
    <n v="2"/>
    <x v="0"/>
    <x v="1"/>
    <x v="1"/>
    <x v="1"/>
    <n v="2000"/>
    <n v="5"/>
  </r>
  <r>
    <n v="3"/>
    <x v="1"/>
    <x v="0"/>
    <x v="0"/>
    <x v="0"/>
    <n v="60000"/>
    <n v="3"/>
  </r>
  <r>
    <n v="4"/>
    <x v="1"/>
    <x v="2"/>
    <x v="1"/>
    <x v="2"/>
    <n v="3000"/>
    <n v="2"/>
  </r>
  <r>
    <n v="5"/>
    <x v="2"/>
    <x v="3"/>
    <x v="0"/>
    <x v="3"/>
    <n v="15000"/>
    <n v="1"/>
  </r>
  <r>
    <n v="6"/>
    <x v="2"/>
    <x v="1"/>
    <x v="1"/>
    <x v="0"/>
    <n v="2500"/>
    <n v="4"/>
  </r>
  <r>
    <n v="7"/>
    <x v="3"/>
    <x v="0"/>
    <x v="0"/>
    <x v="1"/>
    <n v="55000"/>
    <n v="2"/>
  </r>
  <r>
    <n v="8"/>
    <x v="4"/>
    <x v="4"/>
    <x v="1"/>
    <x v="0"/>
    <n v="4500"/>
    <n v="3"/>
  </r>
  <r>
    <n v="9"/>
    <x v="5"/>
    <x v="5"/>
    <x v="0"/>
    <x v="2"/>
    <n v="12000"/>
    <n v="1"/>
  </r>
  <r>
    <n v="10"/>
    <x v="6"/>
    <x v="1"/>
    <x v="1"/>
    <x v="3"/>
    <n v="1800"/>
    <n v="6"/>
  </r>
  <r>
    <n v="11"/>
    <x v="7"/>
    <x v="0"/>
    <x v="0"/>
    <x v="0"/>
    <n v="62000"/>
    <n v="3"/>
  </r>
  <r>
    <n v="12"/>
    <x v="8"/>
    <x v="2"/>
    <x v="1"/>
    <x v="1"/>
    <n v="3200"/>
    <n v="2"/>
  </r>
  <r>
    <n v="13"/>
    <x v="9"/>
    <x v="3"/>
    <x v="0"/>
    <x v="2"/>
    <n v="16000"/>
    <n v="1"/>
  </r>
  <r>
    <n v="14"/>
    <x v="10"/>
    <x v="6"/>
    <x v="1"/>
    <x v="3"/>
    <n v="3800"/>
    <n v="2"/>
  </r>
  <r>
    <n v="15"/>
    <x v="11"/>
    <x v="0"/>
    <x v="0"/>
    <x v="1"/>
    <n v="58000"/>
    <n v="2"/>
  </r>
  <r>
    <n v="16"/>
    <x v="12"/>
    <x v="1"/>
    <x v="1"/>
    <x v="0"/>
    <n v="2200"/>
    <n v="5"/>
  </r>
  <r>
    <n v="17"/>
    <x v="13"/>
    <x v="7"/>
    <x v="0"/>
    <x v="3"/>
    <n v="28000"/>
    <n v="1"/>
  </r>
  <r>
    <n v="18"/>
    <x v="14"/>
    <x v="4"/>
    <x v="1"/>
    <x v="2"/>
    <n v="4200"/>
    <n v="4"/>
  </r>
  <r>
    <n v="19"/>
    <x v="15"/>
    <x v="3"/>
    <x v="0"/>
    <x v="0"/>
    <n v="15500"/>
    <n v="2"/>
  </r>
  <r>
    <n v="20"/>
    <x v="16"/>
    <x v="2"/>
    <x v="1"/>
    <x v="1"/>
    <n v="2900"/>
    <n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5B3224-92A1-441B-B04F-0B4385BE255C}" name="PivotTable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L1:M7" firstHeaderRow="1" firstDataRow="1" firstDataCol="1"/>
  <pivotFields count="9">
    <pivotField showAll="0"/>
    <pivotField numFmtId="14" showAll="0">
      <items count="18">
        <item x="0"/>
        <item x="1"/>
        <item x="2"/>
        <item x="3"/>
        <item x="4"/>
        <item x="5"/>
        <item x="6"/>
        <item x="7"/>
        <item x="8"/>
        <item x="9"/>
        <item x="10"/>
        <item x="11"/>
        <item x="12"/>
        <item x="13"/>
        <item x="14"/>
        <item x="15"/>
        <item x="16"/>
        <item t="default"/>
      </items>
    </pivotField>
    <pivotField showAll="0"/>
    <pivotField showAll="0">
      <items count="3">
        <item x="1"/>
        <item x="0"/>
        <item t="default"/>
      </items>
    </pivotField>
    <pivotField showAll="0">
      <items count="5">
        <item h="1" x="2"/>
        <item x="1"/>
        <item h="1" x="0"/>
        <item h="1" x="3"/>
        <item t="default"/>
      </items>
    </pivotField>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2">
    <field x="8"/>
    <field x="7"/>
  </rowFields>
  <rowItems count="6">
    <i>
      <x v="1"/>
    </i>
    <i>
      <x v="4"/>
    </i>
    <i>
      <x v="6"/>
    </i>
    <i>
      <x v="8"/>
    </i>
    <i>
      <x v="10"/>
    </i>
    <i t="grand">
      <x/>
    </i>
  </rowItems>
  <colItems count="1">
    <i/>
  </colItems>
  <dataFields count="1">
    <dataField name="Sum of Sales" fld="5" baseField="0" baseItem="0"/>
  </dataFields>
  <chartFormats count="1">
    <chartFormat chart="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2621AA-BD1A-47DC-9338-2A90934FEB2F}" name="PivotTable4"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3:J22" firstHeaderRow="1" firstDataRow="1" firstDataCol="1"/>
  <pivotFields count="9">
    <pivotField showAll="0"/>
    <pivotField numFmtId="14" showAll="0">
      <items count="18">
        <item x="0"/>
        <item x="1"/>
        <item x="2"/>
        <item x="3"/>
        <item x="4"/>
        <item x="5"/>
        <item x="6"/>
        <item x="7"/>
        <item x="8"/>
        <item x="9"/>
        <item x="10"/>
        <item x="11"/>
        <item x="12"/>
        <item x="13"/>
        <item x="14"/>
        <item x="15"/>
        <item x="16"/>
        <item t="default"/>
      </items>
    </pivotField>
    <pivotField axis="axisRow" showAll="0">
      <items count="9">
        <item x="4"/>
        <item x="2"/>
        <item x="0"/>
        <item x="3"/>
        <item x="1"/>
        <item x="5"/>
        <item x="7"/>
        <item x="6"/>
        <item t="default"/>
      </items>
    </pivotField>
    <pivotField showAll="0">
      <items count="3">
        <item x="1"/>
        <item x="0"/>
        <item t="default"/>
      </items>
    </pivotField>
    <pivotField showAll="0">
      <items count="5">
        <item x="2"/>
        <item x="1"/>
        <item x="0"/>
        <item x="3"/>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9">
    <i>
      <x/>
    </i>
    <i>
      <x v="1"/>
    </i>
    <i>
      <x v="2"/>
    </i>
    <i>
      <x v="3"/>
    </i>
    <i>
      <x v="4"/>
    </i>
    <i>
      <x v="5"/>
    </i>
    <i>
      <x v="6"/>
    </i>
    <i>
      <x v="7"/>
    </i>
    <i t="grand">
      <x/>
    </i>
  </rowItems>
  <colItems count="1">
    <i/>
  </colItems>
  <dataFields count="1">
    <dataField name="Sum of Sales"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7ABC0E-BAEE-492F-BAA4-8DF4097193F5}"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I6:J11" firstHeaderRow="1" firstDataRow="1" firstDataCol="1"/>
  <pivotFields count="9">
    <pivotField showAll="0"/>
    <pivotField numFmtId="14" showAll="0">
      <items count="18">
        <item x="0"/>
        <item x="1"/>
        <item x="2"/>
        <item x="3"/>
        <item x="4"/>
        <item x="5"/>
        <item x="6"/>
        <item x="7"/>
        <item x="8"/>
        <item x="9"/>
        <item x="10"/>
        <item x="11"/>
        <item x="12"/>
        <item x="13"/>
        <item x="14"/>
        <item x="15"/>
        <item x="16"/>
        <item t="default"/>
      </items>
    </pivotField>
    <pivotField showAll="0"/>
    <pivotField showAll="0">
      <items count="3">
        <item x="1"/>
        <item x="0"/>
        <item t="default"/>
      </items>
    </pivotField>
    <pivotField axis="axisRow" showAll="0">
      <items count="5">
        <item x="2"/>
        <item x="1"/>
        <item x="0"/>
        <item x="3"/>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Sales" fld="5"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1D6B85-ABC5-4AD5-BEE7-AEC5263673BC}"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I1:J4" firstHeaderRow="1" firstDataRow="1" firstDataCol="1"/>
  <pivotFields count="9">
    <pivotField showAll="0"/>
    <pivotField numFmtId="14" showAll="0">
      <items count="18">
        <item x="0"/>
        <item x="1"/>
        <item x="2"/>
        <item x="3"/>
        <item x="4"/>
        <item x="5"/>
        <item x="6"/>
        <item x="7"/>
        <item x="8"/>
        <item x="9"/>
        <item x="10"/>
        <item x="11"/>
        <item x="12"/>
        <item x="13"/>
        <item x="14"/>
        <item x="15"/>
        <item x="16"/>
        <item t="default"/>
      </items>
    </pivotField>
    <pivotField showAll="0"/>
    <pivotField axis="axisRow" showAll="0">
      <items count="3">
        <item x="1"/>
        <item x="0"/>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3">
    <i>
      <x/>
    </i>
    <i>
      <x v="1"/>
    </i>
    <i t="grand">
      <x/>
    </i>
  </rowItems>
  <colItems count="1">
    <i/>
  </colItems>
  <dataFields count="1">
    <dataField name="Sum of Sales" fld="5" baseField="0" baseItem="0"/>
  </dataFields>
  <chartFormats count="1">
    <chartFormat chart="1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08A41D83-1F0B-428B-97D7-9463BEA10049}" sourceName="Category">
  <pivotTables>
    <pivotTable tabId="1" name="PivotTable5"/>
  </pivotTables>
  <data>
    <tabular pivotCacheId="139557185">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967C300-84DC-465F-A0F6-21469F88C069}" sourceName="Region">
  <pivotTables>
    <pivotTable tabId="1" name="PivotTable5"/>
  </pivotTables>
  <data>
    <tabular pivotCacheId="139557185">
      <items count="4">
        <i x="2"/>
        <i x="1" s="1"/>
        <i x="0"/>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E9A30E40-A67B-466D-9215-0B586BD255A5}" cache="Slicer_Category" caption="Category" rowHeight="247650"/>
  <slicer name="Region" xr10:uid="{BF22E1CB-F2DC-4295-B66B-394DC93CE49C}" cache="Slicer_Region" caption="Region"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D530B-BEF3-47E4-BBA7-14928D42F68C}">
  <dimension ref="A1:S22"/>
  <sheetViews>
    <sheetView tabSelected="1" workbookViewId="0">
      <selection activeCell="R16" sqref="R16"/>
    </sheetView>
  </sheetViews>
  <sheetFormatPr defaultRowHeight="14.4" x14ac:dyDescent="0.3"/>
  <cols>
    <col min="1" max="1" width="7.6640625" bestFit="1" customWidth="1"/>
    <col min="2" max="2" width="10.33203125" bestFit="1" customWidth="1"/>
    <col min="3" max="3" width="11.21875" bestFit="1" customWidth="1"/>
    <col min="4" max="4" width="10.88671875" bestFit="1" customWidth="1"/>
    <col min="5" max="5" width="6.5546875" bestFit="1" customWidth="1"/>
    <col min="6" max="6" width="6" bestFit="1" customWidth="1"/>
    <col min="7" max="7" width="8.109375" bestFit="1" customWidth="1"/>
    <col min="9" max="9" width="12.44140625" bestFit="1" customWidth="1"/>
    <col min="10" max="10" width="11.5546875" bestFit="1" customWidth="1"/>
    <col min="12" max="12" width="12.44140625" bestFit="1" customWidth="1"/>
    <col min="13" max="13" width="11.5546875" bestFit="1" customWidth="1"/>
    <col min="17" max="17" width="6.6640625" customWidth="1"/>
    <col min="18" max="18" width="15" bestFit="1" customWidth="1"/>
    <col min="19" max="19" width="10.5546875" bestFit="1" customWidth="1"/>
  </cols>
  <sheetData>
    <row r="1" spans="1:19" x14ac:dyDescent="0.3">
      <c r="A1" s="5" t="s">
        <v>0</v>
      </c>
      <c r="B1" s="5" t="s">
        <v>1</v>
      </c>
      <c r="C1" s="5" t="s">
        <v>2</v>
      </c>
      <c r="D1" s="5" t="s">
        <v>3</v>
      </c>
      <c r="E1" s="5" t="s">
        <v>4</v>
      </c>
      <c r="F1" s="5" t="s">
        <v>5</v>
      </c>
      <c r="G1" s="5" t="s">
        <v>6</v>
      </c>
      <c r="I1" s="2" t="s">
        <v>21</v>
      </c>
      <c r="J1" t="s">
        <v>23</v>
      </c>
      <c r="L1" s="2" t="s">
        <v>21</v>
      </c>
      <c r="M1" t="s">
        <v>23</v>
      </c>
    </row>
    <row r="2" spans="1:19" x14ac:dyDescent="0.3">
      <c r="A2">
        <v>1</v>
      </c>
      <c r="B2" s="1">
        <v>46023</v>
      </c>
      <c r="C2" t="s">
        <v>7</v>
      </c>
      <c r="D2" t="s">
        <v>8</v>
      </c>
      <c r="E2" t="s">
        <v>9</v>
      </c>
      <c r="F2">
        <v>50000</v>
      </c>
      <c r="G2">
        <v>2</v>
      </c>
      <c r="I2" s="3" t="s">
        <v>11</v>
      </c>
      <c r="J2" s="4">
        <v>30100</v>
      </c>
      <c r="L2" s="3" t="s">
        <v>24</v>
      </c>
      <c r="M2" s="4">
        <v>2000</v>
      </c>
    </row>
    <row r="3" spans="1:19" x14ac:dyDescent="0.3">
      <c r="A3">
        <v>2</v>
      </c>
      <c r="B3" s="1">
        <v>46023</v>
      </c>
      <c r="C3" t="s">
        <v>10</v>
      </c>
      <c r="D3" t="s">
        <v>11</v>
      </c>
      <c r="E3" t="s">
        <v>12</v>
      </c>
      <c r="F3">
        <v>2000</v>
      </c>
      <c r="G3">
        <v>5</v>
      </c>
      <c r="I3" s="3" t="s">
        <v>8</v>
      </c>
      <c r="J3" s="4">
        <v>371500</v>
      </c>
      <c r="L3" s="3" t="s">
        <v>25</v>
      </c>
      <c r="M3" s="4">
        <v>55000</v>
      </c>
    </row>
    <row r="4" spans="1:19" x14ac:dyDescent="0.3">
      <c r="A4">
        <v>3</v>
      </c>
      <c r="B4" s="1">
        <v>46055</v>
      </c>
      <c r="C4" t="s">
        <v>7</v>
      </c>
      <c r="D4" t="s">
        <v>8</v>
      </c>
      <c r="E4" t="s">
        <v>9</v>
      </c>
      <c r="F4">
        <v>60000</v>
      </c>
      <c r="G4">
        <v>3</v>
      </c>
      <c r="I4" s="3" t="s">
        <v>22</v>
      </c>
      <c r="J4" s="4">
        <v>401600</v>
      </c>
      <c r="L4" s="3" t="s">
        <v>26</v>
      </c>
      <c r="M4" s="4">
        <v>3200</v>
      </c>
    </row>
    <row r="5" spans="1:19" x14ac:dyDescent="0.3">
      <c r="A5">
        <v>4</v>
      </c>
      <c r="B5" s="1">
        <v>46055</v>
      </c>
      <c r="C5" t="s">
        <v>13</v>
      </c>
      <c r="D5" t="s">
        <v>11</v>
      </c>
      <c r="E5" t="s">
        <v>14</v>
      </c>
      <c r="F5">
        <v>3000</v>
      </c>
      <c r="G5">
        <v>2</v>
      </c>
      <c r="L5" s="3" t="s">
        <v>27</v>
      </c>
      <c r="M5" s="4">
        <v>58000</v>
      </c>
    </row>
    <row r="6" spans="1:19" x14ac:dyDescent="0.3">
      <c r="A6">
        <v>5</v>
      </c>
      <c r="B6" s="1">
        <v>46084</v>
      </c>
      <c r="C6" t="s">
        <v>15</v>
      </c>
      <c r="D6" t="s">
        <v>8</v>
      </c>
      <c r="E6" t="s">
        <v>16</v>
      </c>
      <c r="F6">
        <v>15000</v>
      </c>
      <c r="G6">
        <v>1</v>
      </c>
      <c r="I6" s="2" t="s">
        <v>21</v>
      </c>
      <c r="J6" t="s">
        <v>23</v>
      </c>
      <c r="L6" s="3" t="s">
        <v>28</v>
      </c>
      <c r="M6" s="4">
        <v>2900</v>
      </c>
    </row>
    <row r="7" spans="1:19" x14ac:dyDescent="0.3">
      <c r="A7">
        <v>6</v>
      </c>
      <c r="B7" s="1">
        <v>46084</v>
      </c>
      <c r="C7" t="s">
        <v>10</v>
      </c>
      <c r="D7" t="s">
        <v>11</v>
      </c>
      <c r="E7" t="s">
        <v>9</v>
      </c>
      <c r="F7">
        <v>2500</v>
      </c>
      <c r="G7">
        <v>4</v>
      </c>
      <c r="I7" s="3" t="s">
        <v>14</v>
      </c>
      <c r="J7" s="4">
        <v>35200</v>
      </c>
      <c r="L7" s="3" t="s">
        <v>22</v>
      </c>
      <c r="M7" s="4">
        <v>121100</v>
      </c>
    </row>
    <row r="8" spans="1:19" x14ac:dyDescent="0.3">
      <c r="A8">
        <v>7</v>
      </c>
      <c r="B8" s="1">
        <v>46116</v>
      </c>
      <c r="C8" t="s">
        <v>7</v>
      </c>
      <c r="D8" t="s">
        <v>8</v>
      </c>
      <c r="E8" t="s">
        <v>12</v>
      </c>
      <c r="F8">
        <v>55000</v>
      </c>
      <c r="G8">
        <v>2</v>
      </c>
      <c r="I8" s="3" t="s">
        <v>12</v>
      </c>
      <c r="J8" s="4">
        <v>121100</v>
      </c>
    </row>
    <row r="9" spans="1:19" x14ac:dyDescent="0.3">
      <c r="A9">
        <v>8</v>
      </c>
      <c r="B9" s="1">
        <v>46117</v>
      </c>
      <c r="C9" t="s">
        <v>17</v>
      </c>
      <c r="D9" t="s">
        <v>11</v>
      </c>
      <c r="E9" t="s">
        <v>9</v>
      </c>
      <c r="F9">
        <v>4500</v>
      </c>
      <c r="G9">
        <v>3</v>
      </c>
      <c r="I9" s="3" t="s">
        <v>9</v>
      </c>
      <c r="J9" s="4">
        <v>196700</v>
      </c>
    </row>
    <row r="10" spans="1:19" x14ac:dyDescent="0.3">
      <c r="A10">
        <v>9</v>
      </c>
      <c r="B10" s="1">
        <v>46148</v>
      </c>
      <c r="C10" t="s">
        <v>18</v>
      </c>
      <c r="D10" t="s">
        <v>8</v>
      </c>
      <c r="E10" t="s">
        <v>14</v>
      </c>
      <c r="F10">
        <v>12000</v>
      </c>
      <c r="G10">
        <v>1</v>
      </c>
      <c r="I10" s="3" t="s">
        <v>16</v>
      </c>
      <c r="J10" s="4">
        <v>48600</v>
      </c>
    </row>
    <row r="11" spans="1:19" x14ac:dyDescent="0.3">
      <c r="A11">
        <v>10</v>
      </c>
      <c r="B11" s="1">
        <v>46149</v>
      </c>
      <c r="C11" t="s">
        <v>10</v>
      </c>
      <c r="D11" t="s">
        <v>11</v>
      </c>
      <c r="E11" t="s">
        <v>16</v>
      </c>
      <c r="F11">
        <v>1800</v>
      </c>
      <c r="G11">
        <v>6</v>
      </c>
      <c r="I11" s="3" t="s">
        <v>22</v>
      </c>
      <c r="J11" s="4">
        <v>401600</v>
      </c>
    </row>
    <row r="12" spans="1:19" x14ac:dyDescent="0.3">
      <c r="A12">
        <v>11</v>
      </c>
      <c r="B12" s="1">
        <v>46181</v>
      </c>
      <c r="C12" t="s">
        <v>7</v>
      </c>
      <c r="D12" t="s">
        <v>8</v>
      </c>
      <c r="E12" t="s">
        <v>9</v>
      </c>
      <c r="F12">
        <v>62000</v>
      </c>
      <c r="G12">
        <v>3</v>
      </c>
    </row>
    <row r="13" spans="1:19" ht="15" thickBot="1" x14ac:dyDescent="0.35">
      <c r="A13">
        <v>12</v>
      </c>
      <c r="B13" s="1">
        <v>46182</v>
      </c>
      <c r="C13" t="s">
        <v>13</v>
      </c>
      <c r="D13" t="s">
        <v>11</v>
      </c>
      <c r="E13" t="s">
        <v>12</v>
      </c>
      <c r="F13">
        <v>3200</v>
      </c>
      <c r="G13">
        <v>2</v>
      </c>
      <c r="I13" s="2" t="s">
        <v>21</v>
      </c>
      <c r="J13" t="s">
        <v>23</v>
      </c>
    </row>
    <row r="14" spans="1:19" ht="21.6" thickBot="1" x14ac:dyDescent="0.35">
      <c r="A14">
        <v>13</v>
      </c>
      <c r="B14" s="1">
        <v>46213</v>
      </c>
      <c r="C14" t="s">
        <v>15</v>
      </c>
      <c r="D14" t="s">
        <v>8</v>
      </c>
      <c r="E14" t="s">
        <v>14</v>
      </c>
      <c r="F14">
        <v>16000</v>
      </c>
      <c r="G14">
        <v>1</v>
      </c>
      <c r="I14" s="3" t="s">
        <v>17</v>
      </c>
      <c r="J14" s="4">
        <v>8700</v>
      </c>
      <c r="R14" s="6" t="s">
        <v>29</v>
      </c>
      <c r="S14" s="7">
        <f>SUM(F2:F21)</f>
        <v>401600</v>
      </c>
    </row>
    <row r="15" spans="1:19" x14ac:dyDescent="0.3">
      <c r="A15">
        <v>14</v>
      </c>
      <c r="B15" s="1">
        <v>46214</v>
      </c>
      <c r="C15" t="s">
        <v>19</v>
      </c>
      <c r="D15" t="s">
        <v>11</v>
      </c>
      <c r="E15" t="s">
        <v>16</v>
      </c>
      <c r="F15">
        <v>3800</v>
      </c>
      <c r="G15">
        <v>2</v>
      </c>
      <c r="I15" s="3" t="s">
        <v>13</v>
      </c>
      <c r="J15" s="4">
        <v>9100</v>
      </c>
    </row>
    <row r="16" spans="1:19" x14ac:dyDescent="0.3">
      <c r="A16">
        <v>15</v>
      </c>
      <c r="B16" s="1">
        <v>46246</v>
      </c>
      <c r="C16" t="s">
        <v>7</v>
      </c>
      <c r="D16" t="s">
        <v>8</v>
      </c>
      <c r="E16" t="s">
        <v>12</v>
      </c>
      <c r="F16">
        <v>58000</v>
      </c>
      <c r="G16">
        <v>2</v>
      </c>
      <c r="I16" s="3" t="s">
        <v>7</v>
      </c>
      <c r="J16" s="4">
        <v>285000</v>
      </c>
      <c r="R16" t="str">
        <f>_xlfn.CONCAT(R14,S14)</f>
        <v>Total Sales 401600</v>
      </c>
    </row>
    <row r="17" spans="1:10" x14ac:dyDescent="0.3">
      <c r="A17">
        <v>16</v>
      </c>
      <c r="B17" s="1">
        <v>46247</v>
      </c>
      <c r="C17" t="s">
        <v>10</v>
      </c>
      <c r="D17" t="s">
        <v>11</v>
      </c>
      <c r="E17" t="s">
        <v>9</v>
      </c>
      <c r="F17">
        <v>2200</v>
      </c>
      <c r="G17">
        <v>5</v>
      </c>
      <c r="I17" s="3" t="s">
        <v>15</v>
      </c>
      <c r="J17" s="4">
        <v>46500</v>
      </c>
    </row>
    <row r="18" spans="1:10" x14ac:dyDescent="0.3">
      <c r="A18">
        <v>17</v>
      </c>
      <c r="B18" s="1">
        <v>46279</v>
      </c>
      <c r="C18" t="s">
        <v>20</v>
      </c>
      <c r="D18" t="s">
        <v>8</v>
      </c>
      <c r="E18" t="s">
        <v>16</v>
      </c>
      <c r="F18">
        <v>28000</v>
      </c>
      <c r="G18">
        <v>1</v>
      </c>
      <c r="I18" s="3" t="s">
        <v>10</v>
      </c>
      <c r="J18" s="4">
        <v>8500</v>
      </c>
    </row>
    <row r="19" spans="1:10" x14ac:dyDescent="0.3">
      <c r="A19">
        <v>18</v>
      </c>
      <c r="B19" s="1">
        <v>46280</v>
      </c>
      <c r="C19" t="s">
        <v>17</v>
      </c>
      <c r="D19" t="s">
        <v>11</v>
      </c>
      <c r="E19" t="s">
        <v>14</v>
      </c>
      <c r="F19">
        <v>4200</v>
      </c>
      <c r="G19">
        <v>4</v>
      </c>
      <c r="I19" s="3" t="s">
        <v>18</v>
      </c>
      <c r="J19" s="4">
        <v>12000</v>
      </c>
    </row>
    <row r="20" spans="1:10" x14ac:dyDescent="0.3">
      <c r="A20">
        <v>19</v>
      </c>
      <c r="B20" s="1">
        <v>46311</v>
      </c>
      <c r="C20" t="s">
        <v>15</v>
      </c>
      <c r="D20" t="s">
        <v>8</v>
      </c>
      <c r="E20" t="s">
        <v>9</v>
      </c>
      <c r="F20">
        <v>15500</v>
      </c>
      <c r="G20">
        <v>2</v>
      </c>
      <c r="I20" s="3" t="s">
        <v>20</v>
      </c>
      <c r="J20" s="4">
        <v>28000</v>
      </c>
    </row>
    <row r="21" spans="1:10" x14ac:dyDescent="0.3">
      <c r="A21">
        <v>20</v>
      </c>
      <c r="B21" s="1">
        <v>46312</v>
      </c>
      <c r="C21" t="s">
        <v>13</v>
      </c>
      <c r="D21" t="s">
        <v>11</v>
      </c>
      <c r="E21" t="s">
        <v>12</v>
      </c>
      <c r="F21">
        <v>2900</v>
      </c>
      <c r="G21">
        <v>3</v>
      </c>
      <c r="I21" s="3" t="s">
        <v>19</v>
      </c>
      <c r="J21" s="4">
        <v>3800</v>
      </c>
    </row>
    <row r="22" spans="1:10" x14ac:dyDescent="0.3">
      <c r="I22" s="3" t="s">
        <v>22</v>
      </c>
      <c r="J22" s="4">
        <v>401600</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KPI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Suraj</dc:creator>
  <cp:lastModifiedBy>Suraj S P</cp:lastModifiedBy>
  <dcterms:created xsi:type="dcterms:W3CDTF">2026-04-16T12:53:29Z</dcterms:created>
  <dcterms:modified xsi:type="dcterms:W3CDTF">2026-04-16T13:07:04Z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2026-04-16T12:55:55Z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bf33de35-b58a-40ae-bc89-cfe9ba630193</vt:lpwstr>
  </property>
  <property fmtid="{D5CDD505-2E9C-101B-9397-08002B2CF9AE}" pid="7" name="MSIP_Label_defa4170-0d19-0005-0004-bc88714345d2_ActionId">
    <vt:lpwstr>bfbef79b-33c9-4172-9f56-a3372dbea929</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